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생산제품" sheetId="1" state="visible" r:id="rId3"/>
    <sheet name="자재" sheetId="2" state="visible" r:id="rId4"/>
    <sheet name="공급업체" sheetId="3" state="visible" r:id="rId5"/>
    <sheet name="제품별_자재" sheetId="4" state="visible" r:id="rId6"/>
    <sheet name="생산주문" sheetId="5" state="visible" r:id="rId7"/>
    <sheet name="지연상황_예시" sheetId="6" state="visible" r:id="rId8"/>
    <sheet name="변경내역" sheetId="7" state="visible" r:id="rId9"/>
  </sheets>
  <definedNames>
    <definedName function="false" hidden="true" localSheetId="2" name="_xlnm._FilterDatabase" vbProcedure="false">공급업체!$A$1:$I$49</definedName>
    <definedName function="false" hidden="true" localSheetId="0" name="_xlnm._FilterDatabase" vbProcedure="false">생산제품!$A$1:$E$31</definedName>
    <definedName function="false" hidden="true" localSheetId="4" name="_xlnm._FilterDatabase" vbProcedure="false">생산주문!$A$1:$G$9</definedName>
    <definedName function="false" hidden="true" localSheetId="1" name="_xlnm._FilterDatabase" vbProcedure="false">자재!$A$1:$G$8</definedName>
    <definedName function="false" hidden="true" localSheetId="3" name="_xlnm._FilterDatabase" vbProcedure="false">제품별_자재!$A$1:$C$31</definedName>
    <definedName function="false" hidden="true" localSheetId="5" name="_xlnm._FilterDatabase" vbProcedure="false">지연상황_예시!$A$1:$F$4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<sst xmlns="http://schemas.openxmlformats.org/spreadsheetml/2006/main" count="553" uniqueCount="262">
  <si>
    <t xml:space="preserve">제품코드</t>
  </si>
  <si>
    <t xml:space="preserve">생산제품</t>
  </si>
  <si>
    <t xml:space="preserve">제품분류</t>
  </si>
  <si>
    <t xml:space="preserve">주요자재</t>
  </si>
  <si>
    <t xml:space="preserve">기본 공급업체</t>
  </si>
  <si>
    <t xml:space="preserve">P001</t>
  </si>
  <si>
    <t xml:space="preserve">브레이크</t>
  </si>
  <si>
    <t xml:space="preserve">제동장치 부품</t>
  </si>
  <si>
    <t xml:space="preserve">주철 소재</t>
  </si>
  <si>
    <t xml:space="preserve">태성모터스</t>
  </si>
  <si>
    <t xml:space="preserve">P002</t>
  </si>
  <si>
    <t xml:space="preserve">알루미늄 소재</t>
  </si>
  <si>
    <t xml:space="preserve">한빛오토텍</t>
  </si>
  <si>
    <t xml:space="preserve">P003</t>
  </si>
  <si>
    <t xml:space="preserve">단조강 소재</t>
  </si>
  <si>
    <t xml:space="preserve">세진정밀</t>
  </si>
  <si>
    <t xml:space="preserve">P004</t>
  </si>
  <si>
    <t xml:space="preserve">서스펜션</t>
  </si>
  <si>
    <t xml:space="preserve">현가장치 부품</t>
  </si>
  <si>
    <t xml:space="preserve">철강 소재</t>
  </si>
  <si>
    <t xml:space="preserve">P005</t>
  </si>
  <si>
    <t xml:space="preserve">동아기공</t>
  </si>
  <si>
    <t xml:space="preserve">P006</t>
  </si>
  <si>
    <t xml:space="preserve">엔진</t>
  </si>
  <si>
    <r>
      <rPr>
        <sz val="11"/>
        <color theme="1"/>
        <rFont val="Noto Sans CJK SC"/>
        <family val="2"/>
      </rPr>
      <t xml:space="preserve">엔진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배기 부품</t>
    </r>
  </si>
  <si>
    <t xml:space="preserve">고무 소재</t>
  </si>
  <si>
    <t xml:space="preserve">유진소재</t>
  </si>
  <si>
    <t xml:space="preserve">P007</t>
  </si>
  <si>
    <t xml:space="preserve">P008</t>
  </si>
  <si>
    <t xml:space="preserve">변속기</t>
  </si>
  <si>
    <t xml:space="preserve">동력전달 부품</t>
  </si>
  <si>
    <t xml:space="preserve">P009</t>
  </si>
  <si>
    <t xml:space="preserve">대성메탈</t>
  </si>
  <si>
    <t xml:space="preserve">P010</t>
  </si>
  <si>
    <t xml:space="preserve">조향</t>
  </si>
  <si>
    <r>
      <rPr>
        <sz val="11"/>
        <color theme="1"/>
        <rFont val="Noto Sans CJK SC"/>
        <family val="2"/>
      </rPr>
      <t xml:space="preserve">현가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조향 부품</t>
    </r>
  </si>
  <si>
    <t xml:space="preserve">합금강 소재</t>
  </si>
  <si>
    <t xml:space="preserve">P011</t>
  </si>
  <si>
    <t xml:space="preserve">P012</t>
  </si>
  <si>
    <t xml:space="preserve">차체</t>
  </si>
  <si>
    <t xml:space="preserve">차체 부품</t>
  </si>
  <si>
    <t xml:space="preserve">P013</t>
  </si>
  <si>
    <t xml:space="preserve">배터리</t>
  </si>
  <si>
    <t xml:space="preserve">전동화 부품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</si>
  <si>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</si>
  <si>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</si>
  <si>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</si>
  <si>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</si>
  <si>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</si>
  <si>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스테인리스 소재</t>
  </si>
  <si>
    <t xml:space="preserve">신우스틸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</si>
  <si>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</si>
  <si>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</si>
  <si>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</si>
  <si>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</si>
  <si>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</si>
  <si>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</si>
  <si>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</si>
  <si>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</si>
  <si>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</si>
  <si>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</si>
  <si>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</si>
  <si>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</si>
  <si>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자재코드</t>
  </si>
  <si>
    <t xml:space="preserve">자재명</t>
  </si>
  <si>
    <t xml:space="preserve">단위</t>
  </si>
  <si>
    <t xml:space="preserve">현재재고</t>
  </si>
  <si>
    <r>
      <rPr>
        <b val="true"/>
        <sz val="11"/>
        <rFont val="Noto Sans CJK SC"/>
        <family val="2"/>
      </rPr>
      <t xml:space="preserve">기본 납기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</si>
  <si>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대체업체 평균 납기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Cambria"/>
        <family val="0"/>
        <charset val="1"/>
      </rPr>
      <t xml:space="preserve">)</t>
    </r>
  </si>
  <si>
    <t xml:space="preserve">M001</t>
  </si>
  <si>
    <t xml:space="preserve">kg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</si>
  <si>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</si>
  <si>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</si>
  <si>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</si>
  <si>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</si>
  <si>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</si>
  <si>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M007</t>
  </si>
  <si>
    <t xml:space="preserve">업체코드</t>
  </si>
  <si>
    <t xml:space="preserve">업체명</t>
  </si>
  <si>
    <t xml:space="preserve">공급 가능 자재</t>
  </si>
  <si>
    <r>
      <rPr>
        <b val="true"/>
        <sz val="11"/>
        <rFont val="Noto Sans CJK SC"/>
        <family val="2"/>
      </rPr>
      <t xml:space="preserve">대체 납기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Cambria"/>
        <family val="0"/>
        <charset val="1"/>
      </rPr>
      <t xml:space="preserve">)</t>
    </r>
  </si>
  <si>
    <t xml:space="preserve">상태</t>
  </si>
  <si>
    <r>
      <rPr>
        <sz val="11"/>
        <color theme="1"/>
        <rFont val="Noto Sans CJK SC"/>
        <family val="2"/>
      </rPr>
      <t xml:space="preserve">월 공급가능량</t>
    </r>
    <r>
      <rPr>
        <sz val="11"/>
        <color theme="1"/>
        <rFont val="Calibri"/>
        <family val="2"/>
        <charset val="1"/>
      </rPr>
      <t xml:space="preserve">(kg)</t>
    </r>
  </si>
  <si>
    <r>
      <rPr>
        <sz val="11"/>
        <color theme="1"/>
        <rFont val="Noto Sans CJK SC"/>
        <family val="2"/>
      </rPr>
      <t xml:space="preserve">납기 준수율</t>
    </r>
    <r>
      <rPr>
        <sz val="11"/>
        <color theme="1"/>
        <rFont val="Calibri"/>
        <family val="2"/>
        <charset val="1"/>
      </rPr>
      <t xml:space="preserve">(%)</t>
    </r>
  </si>
  <si>
    <t xml:space="preserve">준수율 등급</t>
  </si>
  <si>
    <t xml:space="preserve">S001</t>
  </si>
  <si>
    <r>
      <rPr>
        <sz val="11"/>
        <color theme="1"/>
        <rFont val="Noto Sans CJK SC"/>
        <family val="2"/>
      </rPr>
      <t xml:space="preserve">주철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철강 소재</t>
    </r>
  </si>
  <si>
    <t xml:space="preserve">정상</t>
  </si>
  <si>
    <t xml:space="preserve">S002</t>
  </si>
  <si>
    <r>
      <rPr>
        <sz val="11"/>
        <color theme="1"/>
        <rFont val="Noto Sans CJK SC"/>
        <family val="2"/>
      </rPr>
      <t xml:space="preserve">알루미늄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스테인리스 소재</t>
    </r>
  </si>
  <si>
    <t xml:space="preserve">S003</t>
  </si>
  <si>
    <r>
      <rPr>
        <sz val="11"/>
        <color theme="1"/>
        <rFont val="Noto Sans CJK SC"/>
        <family val="2"/>
      </rPr>
      <t xml:space="preserve">단조강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합금강 소재</t>
    </r>
  </si>
  <si>
    <t xml:space="preserve">S004</t>
  </si>
  <si>
    <r>
      <rPr>
        <sz val="11"/>
        <color theme="1"/>
        <rFont val="Noto Sans CJK SC"/>
        <family val="2"/>
      </rPr>
      <t xml:space="preserve">철강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합금강 소재</t>
    </r>
  </si>
  <si>
    <t xml:space="preserve">S005</t>
  </si>
  <si>
    <r>
      <rPr>
        <sz val="11"/>
        <color theme="1"/>
        <rFont val="Noto Sans CJK SC"/>
        <family val="2"/>
      </rPr>
      <t xml:space="preserve">고무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합성고무</t>
    </r>
  </si>
  <si>
    <t xml:space="preserve">S006</t>
  </si>
  <si>
    <t xml:space="preserve">S007</t>
  </si>
  <si>
    <r>
      <rPr>
        <sz val="11"/>
        <color theme="1"/>
        <rFont val="Noto Sans CJK SC"/>
        <family val="2"/>
      </rPr>
      <t xml:space="preserve">스테인리스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철강 소재</t>
    </r>
  </si>
  <si>
    <t xml:space="preserve">S008</t>
  </si>
  <si>
    <t xml:space="preserve">삼우정밀</t>
  </si>
  <si>
    <t xml:space="preserve">S009</t>
  </si>
  <si>
    <t xml:space="preserve">동진오토</t>
  </si>
  <si>
    <r>
      <rPr>
        <sz val="11"/>
        <color theme="1"/>
        <rFont val="Noto Sans CJK SC"/>
        <family val="2"/>
      </rPr>
      <t xml:space="preserve">알루미늄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철강 소재</t>
    </r>
  </si>
  <si>
    <t xml:space="preserve">S010</t>
  </si>
  <si>
    <t xml:space="preserve">미래소재</t>
  </si>
  <si>
    <t xml:space="preserve">S011</t>
  </si>
  <si>
    <t xml:space="preserve">성우테크</t>
  </si>
  <si>
    <r>
      <rPr>
        <sz val="11"/>
        <color theme="1"/>
        <rFont val="Noto Sans CJK SC"/>
        <family val="2"/>
      </rPr>
      <t xml:space="preserve">합금강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단조강 소재</t>
    </r>
  </si>
  <si>
    <t xml:space="preserve">S012</t>
  </si>
  <si>
    <t xml:space="preserve">한성기공</t>
  </si>
  <si>
    <t xml:space="preserve">S013</t>
  </si>
  <si>
    <t xml:space="preserve">대림정공</t>
  </si>
  <si>
    <t xml:space="preserve">S014</t>
  </si>
  <si>
    <t xml:space="preserve">우성메탈</t>
  </si>
  <si>
    <r>
      <rPr>
        <sz val="11"/>
        <color theme="1"/>
        <rFont val="Noto Sans CJK SC"/>
        <family val="2"/>
      </rPr>
      <t xml:space="preserve">주철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단조강 소재</t>
    </r>
  </si>
  <si>
    <t xml:space="preserve">S015</t>
  </si>
  <si>
    <t xml:space="preserve">세광소재</t>
  </si>
  <si>
    <t xml:space="preserve">S016</t>
  </si>
  <si>
    <t xml:space="preserve">동명정밀</t>
  </si>
  <si>
    <t xml:space="preserve">S017</t>
  </si>
  <si>
    <t xml:space="preserve">진성오토텍</t>
  </si>
  <si>
    <r>
      <rPr>
        <sz val="11"/>
        <color theme="1"/>
        <rFont val="Noto Sans CJK SC"/>
        <family val="2"/>
      </rPr>
      <t xml:space="preserve">알루미늄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주철 소재</t>
    </r>
  </si>
  <si>
    <t xml:space="preserve">S018</t>
  </si>
  <si>
    <t xml:space="preserve">하나기공</t>
  </si>
  <si>
    <r>
      <rPr>
        <sz val="11"/>
        <color theme="1"/>
        <rFont val="Noto Sans CJK SC"/>
        <family val="2"/>
      </rPr>
      <t xml:space="preserve">철강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단조강 소재</t>
    </r>
  </si>
  <si>
    <t xml:space="preserve">S019</t>
  </si>
  <si>
    <t xml:space="preserve">대진모터스</t>
  </si>
  <si>
    <t xml:space="preserve">S020</t>
  </si>
  <si>
    <t xml:space="preserve">서진메탈</t>
  </si>
  <si>
    <r>
      <rPr>
        <sz val="11"/>
        <color theme="1"/>
        <rFont val="Noto Sans CJK SC"/>
        <family val="2"/>
      </rPr>
      <t xml:space="preserve">스테인리스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알루미늄 소재</t>
    </r>
  </si>
  <si>
    <t xml:space="preserve">S021</t>
  </si>
  <si>
    <t xml:space="preserve">광성정밀</t>
  </si>
  <si>
    <r>
      <rPr>
        <sz val="11"/>
        <color theme="1"/>
        <rFont val="Noto Sans CJK SC"/>
        <family val="2"/>
      </rPr>
      <t xml:space="preserve">합금강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철강 소재</t>
    </r>
  </si>
  <si>
    <t xml:space="preserve">S022</t>
  </si>
  <si>
    <t xml:space="preserve">태광소재</t>
  </si>
  <si>
    <r>
      <rPr>
        <sz val="11"/>
        <color theme="1"/>
        <rFont val="Noto Sans CJK SC"/>
        <family val="2"/>
      </rPr>
      <t xml:space="preserve">주철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알루미늄 소재</t>
    </r>
  </si>
  <si>
    <t xml:space="preserve">S023</t>
  </si>
  <si>
    <t xml:space="preserve">한일기공</t>
  </si>
  <si>
    <r>
      <rPr>
        <sz val="11"/>
        <color theme="1"/>
        <rFont val="Noto Sans CJK SC"/>
        <family val="2"/>
      </rPr>
      <t xml:space="preserve">철강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스테인리스 소재</t>
    </r>
  </si>
  <si>
    <t xml:space="preserve">S024</t>
  </si>
  <si>
    <t xml:space="preserve">동성오토</t>
  </si>
  <si>
    <t xml:space="preserve">S025</t>
  </si>
  <si>
    <t xml:space="preserve">에이스메탈</t>
  </si>
  <si>
    <t xml:space="preserve">S026</t>
  </si>
  <si>
    <t xml:space="preserve">현대정밀소재</t>
  </si>
  <si>
    <r>
      <rPr>
        <sz val="11"/>
        <color theme="1"/>
        <rFont val="Noto Sans CJK SC"/>
        <family val="2"/>
      </rPr>
      <t xml:space="preserve">주철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합금강 소재</t>
    </r>
  </si>
  <si>
    <t xml:space="preserve">S027</t>
  </si>
  <si>
    <t xml:space="preserve">제일오토텍</t>
  </si>
  <si>
    <t xml:space="preserve">S028</t>
  </si>
  <si>
    <t xml:space="preserve">금강기공</t>
  </si>
  <si>
    <r>
      <rPr>
        <sz val="11"/>
        <color theme="1"/>
        <rFont val="Noto Sans CJK SC"/>
        <family val="2"/>
      </rPr>
      <t xml:space="preserve">단조강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철강 소재</t>
    </r>
  </si>
  <si>
    <t xml:space="preserve">S029</t>
  </si>
  <si>
    <t xml:space="preserve">동원메탈</t>
  </si>
  <si>
    <t xml:space="preserve">S030</t>
  </si>
  <si>
    <t xml:space="preserve">서광정밀</t>
  </si>
  <si>
    <r>
      <rPr>
        <sz val="11"/>
        <color theme="1"/>
        <rFont val="Noto Sans CJK SC"/>
        <family val="2"/>
      </rPr>
      <t xml:space="preserve">합금강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스테인리스 소재</t>
    </r>
  </si>
  <si>
    <t xml:space="preserve">S031</t>
  </si>
  <si>
    <t xml:space="preserve">한림소재</t>
  </si>
  <si>
    <t xml:space="preserve">S032</t>
  </si>
  <si>
    <t xml:space="preserve">대경오토</t>
  </si>
  <si>
    <r>
      <rPr>
        <sz val="11"/>
        <color theme="1"/>
        <rFont val="Noto Sans CJK SC"/>
        <family val="2"/>
      </rPr>
      <t xml:space="preserve">알루미늄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합금강 소재</t>
    </r>
  </si>
  <si>
    <t xml:space="preserve">S033</t>
  </si>
  <si>
    <t xml:space="preserve">신성기공</t>
  </si>
  <si>
    <t xml:space="preserve">S034</t>
  </si>
  <si>
    <t xml:space="preserve">우림테크</t>
  </si>
  <si>
    <t xml:space="preserve">S035</t>
  </si>
  <si>
    <t xml:space="preserve">동우정밀</t>
  </si>
  <si>
    <r>
      <rPr>
        <sz val="11"/>
        <color theme="1"/>
        <rFont val="Noto Sans CJK SC"/>
        <family val="2"/>
      </rPr>
      <t xml:space="preserve">고무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주철 소재</t>
    </r>
  </si>
  <si>
    <t xml:space="preserve">S036</t>
  </si>
  <si>
    <t xml:space="preserve">삼진메탈</t>
  </si>
  <si>
    <t xml:space="preserve">S037</t>
  </si>
  <si>
    <t xml:space="preserve">대원소재</t>
  </si>
  <si>
    <t xml:space="preserve">S038</t>
  </si>
  <si>
    <t xml:space="preserve">성진오토</t>
  </si>
  <si>
    <t xml:space="preserve">S039</t>
  </si>
  <si>
    <t xml:space="preserve">한성테크</t>
  </si>
  <si>
    <t xml:space="preserve">S040</t>
  </si>
  <si>
    <t xml:space="preserve">동양정밀</t>
  </si>
  <si>
    <t xml:space="preserve">S041</t>
  </si>
  <si>
    <t xml:space="preserve">진우기공</t>
  </si>
  <si>
    <r>
      <rPr>
        <sz val="11"/>
        <color theme="1"/>
        <rFont val="Noto Sans CJK SC"/>
        <family val="2"/>
      </rPr>
      <t xml:space="preserve">철강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고무 소재</t>
    </r>
  </si>
  <si>
    <t xml:space="preserve">S042</t>
  </si>
  <si>
    <t xml:space="preserve">세명소재</t>
  </si>
  <si>
    <t xml:space="preserve">S043</t>
  </si>
  <si>
    <t xml:space="preserve">태림오토</t>
  </si>
  <si>
    <t xml:space="preserve">S044</t>
  </si>
  <si>
    <t xml:space="preserve">대성정밀</t>
  </si>
  <si>
    <t xml:space="preserve">S045</t>
  </si>
  <si>
    <t xml:space="preserve">한빛기공</t>
  </si>
  <si>
    <t xml:space="preserve">S046</t>
  </si>
  <si>
    <t xml:space="preserve">동아메탈</t>
  </si>
  <si>
    <t xml:space="preserve">S047</t>
  </si>
  <si>
    <t xml:space="preserve">유성테크</t>
  </si>
  <si>
    <r>
      <rPr>
        <sz val="11"/>
        <color theme="1"/>
        <rFont val="Noto Sans CJK SC"/>
        <family val="2"/>
      </rPr>
      <t xml:space="preserve">고무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스테인리스 소재</t>
    </r>
  </si>
  <si>
    <t xml:space="preserve">S048</t>
  </si>
  <si>
    <t xml:space="preserve">광명정밀</t>
  </si>
  <si>
    <r>
      <rPr>
        <sz val="11"/>
        <color theme="1"/>
        <rFont val="Noto Sans CJK SC"/>
        <family val="2"/>
      </rPr>
      <t xml:space="preserve">알루미늄 소재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단조강 소재</t>
    </r>
  </si>
  <si>
    <r>
      <rPr>
        <b val="true"/>
        <sz val="11"/>
        <rFont val="Noto Sans CJK SC"/>
        <family val="2"/>
      </rPr>
      <t xml:space="preserve">제품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개당 필요량</t>
    </r>
  </si>
  <si>
    <t xml:space="preserve">주문번호</t>
  </si>
  <si>
    <t xml:space="preserve">주문일</t>
  </si>
  <si>
    <t xml:space="preserve">제품명</t>
  </si>
  <si>
    <t xml:space="preserve">주문수량</t>
  </si>
  <si>
    <t xml:space="preserve">납품요청일</t>
  </si>
  <si>
    <t xml:space="preserve">생산상태</t>
  </si>
  <si>
    <t xml:space="preserve">O001</t>
  </si>
  <si>
    <t xml:space="preserve">2026-10-05</t>
  </si>
  <si>
    <t xml:space="preserve">2026-10-12</t>
  </si>
  <si>
    <t xml:space="preserve">생산대기</t>
  </si>
  <si>
    <t xml:space="preserve">O002</t>
  </si>
  <si>
    <t xml:space="preserve">2026-10-15</t>
  </si>
  <si>
    <t xml:space="preserve">O003</t>
  </si>
  <si>
    <t xml:space="preserve">2026-10-06</t>
  </si>
  <si>
    <t xml:space="preserve">2026-10-18</t>
  </si>
  <si>
    <t xml:space="preserve">O004</t>
  </si>
  <si>
    <t xml:space="preserve">2026-10-20</t>
  </si>
  <si>
    <t xml:space="preserve">O005</t>
  </si>
  <si>
    <t xml:space="preserve">2026-10-07</t>
  </si>
  <si>
    <t xml:space="preserve">2026-10-17</t>
  </si>
  <si>
    <t xml:space="preserve">O006</t>
  </si>
  <si>
    <t xml:space="preserve">2026-10-16</t>
  </si>
  <si>
    <t xml:space="preserve">O007</t>
  </si>
  <si>
    <t xml:space="preserve">2026-10-08</t>
  </si>
  <si>
    <t xml:space="preserve">2026-10-22</t>
  </si>
  <si>
    <t xml:space="preserve">O008</t>
  </si>
  <si>
    <t xml:space="preserve">2026-10-19</t>
  </si>
  <si>
    <t xml:space="preserve">상황</t>
  </si>
  <si>
    <t xml:space="preserve">지연 원인</t>
  </si>
  <si>
    <t xml:space="preserve">기존 업체</t>
  </si>
  <si>
    <t xml:space="preserve">문제 자재</t>
  </si>
  <si>
    <t xml:space="preserve">지연일수</t>
  </si>
  <si>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가 찾을 대상</t>
    </r>
  </si>
  <si>
    <t xml:space="preserve">비교 대상 업체 수</t>
  </si>
  <si>
    <r>
      <rPr>
        <sz val="11"/>
        <color theme="1"/>
        <rFont val="Noto Sans CJK SC"/>
        <family val="2"/>
      </rPr>
      <t xml:space="preserve">사례</t>
    </r>
    <r>
      <rPr>
        <sz val="11"/>
        <color theme="1"/>
        <rFont val="Calibri"/>
        <family val="2"/>
        <charset val="1"/>
      </rPr>
      <t xml:space="preserve">1</t>
    </r>
  </si>
  <si>
    <t xml:space="preserve">납품 지연</t>
  </si>
  <si>
    <t xml:space="preserve">철강 소재를 공급할 수 있는 다른 기존 업체</t>
  </si>
  <si>
    <r>
      <rPr>
        <sz val="11"/>
        <color theme="1"/>
        <rFont val="Noto Sans CJK SC"/>
        <family val="2"/>
      </rPr>
      <t xml:space="preserve">사례</t>
    </r>
    <r>
      <rPr>
        <sz val="11"/>
        <color theme="1"/>
        <rFont val="Calibri"/>
        <family val="2"/>
        <charset val="1"/>
      </rPr>
      <t xml:space="preserve">2</t>
    </r>
  </si>
  <si>
    <t xml:space="preserve">알루미늄 소재를 공급할 수 있는 다른 기존 업체</t>
  </si>
  <si>
    <r>
      <rPr>
        <sz val="11"/>
        <color theme="1"/>
        <rFont val="Noto Sans CJK SC"/>
        <family val="2"/>
      </rPr>
      <t xml:space="preserve">사례</t>
    </r>
    <r>
      <rPr>
        <sz val="11"/>
        <color theme="1"/>
        <rFont val="Calibri"/>
        <family val="2"/>
        <charset val="1"/>
      </rPr>
      <t xml:space="preserve">3</t>
    </r>
  </si>
  <si>
    <t xml:space="preserve">합금강 소재를 공급할 수 있는 다른 기존 업체</t>
  </si>
  <si>
    <t xml:space="preserve">항목</t>
  </si>
  <si>
    <t xml:space="preserve">내용</t>
  </si>
  <si>
    <t xml:space="preserve">변경일</t>
  </si>
  <si>
    <t xml:space="preserve">2026-10-01</t>
  </si>
  <si>
    <t xml:space="preserve">원본 파일</t>
  </si>
  <si>
    <r>
      <rPr>
        <sz val="11"/>
        <color theme="1"/>
        <rFont val="Noto Sans CJK SC"/>
        <family val="2"/>
      </rPr>
      <t xml:space="preserve">자동차부품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생산관리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가상데이터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최최최최종수정</t>
    </r>
    <r>
      <rPr>
        <sz val="11"/>
        <color theme="1"/>
        <rFont val="Calibri"/>
        <family val="2"/>
        <charset val="1"/>
      </rPr>
      <t xml:space="preserve">.xlsx (</t>
    </r>
    <r>
      <rPr>
        <sz val="11"/>
        <color theme="1"/>
        <rFont val="Noto Sans CJK SC"/>
        <family val="2"/>
      </rPr>
      <t xml:space="preserve">원본은 그대로 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</si>
  <si>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변경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</si>
  <si>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공급업체 시트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열 납기 준수율</t>
    </r>
    <r>
      <rPr>
        <sz val="11"/>
        <color theme="1"/>
        <rFont val="Calibri"/>
        <family val="2"/>
        <charset val="1"/>
      </rPr>
      <t xml:space="preserve">(%): </t>
    </r>
    <r>
      <rPr>
        <sz val="11"/>
        <color theme="1"/>
        <rFont val="Noto Sans CJK SC"/>
        <family val="2"/>
      </rPr>
      <t xml:space="preserve">전 업체 </t>
    </r>
    <r>
      <rPr>
        <sz val="11"/>
        <color theme="1"/>
        <rFont val="Calibri"/>
        <family val="2"/>
        <charset val="1"/>
      </rPr>
      <t xml:space="preserve">93% → </t>
    </r>
    <r>
      <rPr>
        <sz val="11"/>
        <color theme="1"/>
        <rFont val="Noto Sans CJK SC"/>
        <family val="2"/>
      </rPr>
      <t xml:space="preserve">업체별 </t>
    </r>
    <r>
      <rPr>
        <sz val="11"/>
        <color theme="1"/>
        <rFont val="Calibri"/>
        <family val="2"/>
        <charset val="1"/>
      </rPr>
      <t xml:space="preserve">65~98%</t>
    </r>
    <r>
      <rPr>
        <sz val="11"/>
        <color theme="1"/>
        <rFont val="Noto Sans CJK SC"/>
        <family val="2"/>
      </rPr>
      <t xml:space="preserve">로 다양화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시연용 가상값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</si>
  <si>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변경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</si>
  <si>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공급업체 시트 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열 준수율 등급 추가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수식</t>
    </r>
    <r>
      <rPr>
        <sz val="11"/>
        <color theme="1"/>
        <rFont val="Calibri"/>
        <family val="2"/>
        <charset val="1"/>
      </rPr>
      <t xml:space="preserve">): 95% </t>
    </r>
    <r>
      <rPr>
        <sz val="11"/>
        <color theme="1"/>
        <rFont val="Noto Sans CJK SC"/>
        <family val="2"/>
      </rPr>
      <t xml:space="preserve">이상 우수 </t>
    </r>
    <r>
      <rPr>
        <sz val="11"/>
        <color theme="1"/>
        <rFont val="Calibri"/>
        <family val="2"/>
        <charset val="1"/>
      </rPr>
      <t xml:space="preserve">/ 80~94% </t>
    </r>
    <r>
      <rPr>
        <sz val="11"/>
        <color theme="1"/>
        <rFont val="Noto Sans CJK SC"/>
        <family val="2"/>
      </rPr>
      <t xml:space="preserve">보통 </t>
    </r>
    <r>
      <rPr>
        <sz val="11"/>
        <color theme="1"/>
        <rFont val="Calibri"/>
        <family val="2"/>
        <charset val="1"/>
      </rPr>
      <t xml:space="preserve">/ 80% </t>
    </r>
    <r>
      <rPr>
        <sz val="11"/>
        <color theme="1"/>
        <rFont val="Noto Sans CJK SC"/>
        <family val="2"/>
      </rPr>
      <t xml:space="preserve">미만 위험</t>
    </r>
  </si>
  <si>
    <r>
      <rPr>
        <sz val="11"/>
        <color theme="1"/>
        <rFont val="Noto Sans CJK SC"/>
        <family val="2"/>
      </rPr>
      <t xml:space="preserve">변경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</si>
  <si>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CJK SC"/>
        <family val="2"/>
      </rPr>
      <t xml:space="preserve">공급업체 시트 </t>
    </r>
    <r>
      <rPr>
        <sz val="11"/>
        <color theme="1"/>
        <rFont val="Calibri"/>
        <family val="2"/>
        <charset val="1"/>
      </rPr>
      <t xml:space="preserve">D·E</t>
    </r>
    <r>
      <rPr>
        <sz val="11"/>
        <color theme="1"/>
        <rFont val="Noto Sans CJK SC"/>
        <family val="2"/>
      </rPr>
      <t xml:space="preserve">열 기본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대체 납기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텍스트</t>
    </r>
    <r>
      <rPr>
        <sz val="11"/>
        <color theme="1"/>
        <rFont val="Calibri"/>
        <family val="2"/>
        <charset val="1"/>
      </rPr>
      <t xml:space="preserve">('4') → </t>
    </r>
    <r>
      <rPr>
        <sz val="11"/>
        <color theme="1"/>
        <rFont val="Noto Sans CJK SC"/>
        <family val="2"/>
      </rPr>
      <t xml:space="preserve">숫자</t>
    </r>
    <r>
      <rPr>
        <sz val="11"/>
        <color theme="1"/>
        <rFont val="Calibri"/>
        <family val="2"/>
        <charset val="1"/>
      </rPr>
      <t xml:space="preserve">(4)</t>
    </r>
  </si>
  <si>
    <t xml:space="preserve">등급 분포</t>
  </si>
  <si>
    <r>
      <rPr>
        <sz val="11"/>
        <color theme="1"/>
        <rFont val="Noto Sans CJK SC"/>
        <family val="2"/>
      </rPr>
      <t xml:space="preserve">우수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곳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보통 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곳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위험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위험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한빛오토텍 </t>
    </r>
    <r>
      <rPr>
        <sz val="11"/>
        <color theme="1"/>
        <rFont val="Calibri"/>
        <family val="2"/>
        <charset val="1"/>
      </rPr>
      <t xml:space="preserve">76, </t>
    </r>
    <r>
      <rPr>
        <sz val="11"/>
        <color theme="1"/>
        <rFont val="Noto Sans CJK SC"/>
        <family val="2"/>
      </rPr>
      <t xml:space="preserve">삼우정밀 </t>
    </r>
    <r>
      <rPr>
        <sz val="11"/>
        <color theme="1"/>
        <rFont val="Calibri"/>
        <family val="2"/>
        <charset val="1"/>
      </rPr>
      <t xml:space="preserve">74, </t>
    </r>
    <r>
      <rPr>
        <sz val="11"/>
        <color theme="1"/>
        <rFont val="Noto Sans CJK SC"/>
        <family val="2"/>
      </rPr>
      <t xml:space="preserve">대진모터스 </t>
    </r>
    <r>
      <rPr>
        <sz val="11"/>
        <color theme="1"/>
        <rFont val="Calibri"/>
        <family val="2"/>
        <charset val="1"/>
      </rPr>
      <t xml:space="preserve">69, </t>
    </r>
    <r>
      <rPr>
        <sz val="11"/>
        <color theme="1"/>
        <rFont val="Noto Sans CJK SC"/>
        <family val="2"/>
      </rPr>
      <t xml:space="preserve">동성오토 </t>
    </r>
    <r>
      <rPr>
        <sz val="11"/>
        <color theme="1"/>
        <rFont val="Calibri"/>
        <family val="2"/>
        <charset val="1"/>
      </rPr>
      <t xml:space="preserve">77, </t>
    </r>
    <r>
      <rPr>
        <sz val="11"/>
        <color theme="1"/>
        <rFont val="Noto Sans CJK SC"/>
        <family val="2"/>
      </rPr>
      <t xml:space="preserve">에이스메탈 </t>
    </r>
    <r>
      <rPr>
        <sz val="11"/>
        <color theme="1"/>
        <rFont val="Calibri"/>
        <family val="2"/>
        <charset val="1"/>
      </rPr>
      <t xml:space="preserve">72, </t>
    </r>
    <r>
      <rPr>
        <sz val="11"/>
        <color theme="1"/>
        <rFont val="Noto Sans CJK SC"/>
        <family val="2"/>
      </rPr>
      <t xml:space="preserve">대경오토 </t>
    </r>
    <r>
      <rPr>
        <sz val="11"/>
        <color theme="1"/>
        <rFont val="Calibri"/>
        <family val="2"/>
        <charset val="1"/>
      </rPr>
      <t xml:space="preserve">79, </t>
    </r>
    <r>
      <rPr>
        <sz val="11"/>
        <color theme="1"/>
        <rFont val="Noto Sans CJK SC"/>
        <family val="2"/>
      </rPr>
      <t xml:space="preserve">신성기공 </t>
    </r>
    <r>
      <rPr>
        <sz val="11"/>
        <color theme="1"/>
        <rFont val="Calibri"/>
        <family val="2"/>
        <charset val="1"/>
      </rPr>
      <t xml:space="preserve">65, </t>
    </r>
    <r>
      <rPr>
        <sz val="11"/>
        <color theme="1"/>
        <rFont val="Noto Sans CJK SC"/>
        <family val="2"/>
      </rPr>
      <t xml:space="preserve">유성테크 </t>
    </r>
    <r>
      <rPr>
        <sz val="11"/>
        <color theme="1"/>
        <rFont val="Calibri"/>
        <family val="2"/>
        <charset val="1"/>
      </rPr>
      <t xml:space="preserve">71)</t>
    </r>
  </si>
  <si>
    <r>
      <rPr>
        <sz val="11"/>
        <color theme="1"/>
        <rFont val="Noto Sans CJK SC"/>
        <family val="2"/>
      </rPr>
      <t xml:space="preserve">시연 포인트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</si>
  <si>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한빛오토텍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엔진 </t>
    </r>
    <r>
      <rPr>
        <sz val="11"/>
        <color theme="1"/>
        <rFont val="Calibri"/>
        <family val="2"/>
        <charset val="1"/>
      </rPr>
      <t xml:space="preserve">P007 </t>
    </r>
    <r>
      <rPr>
        <sz val="11"/>
        <color theme="1"/>
        <rFont val="Noto Sans CJK SC"/>
        <family val="2"/>
      </rPr>
      <t xml:space="preserve">기본 공급업체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이 위험 등급 → 대시보드 </t>
    </r>
    <r>
      <rPr>
        <sz val="11"/>
        <color theme="1"/>
        <rFont val="Calibri"/>
        <family val="2"/>
        <charset val="1"/>
      </rPr>
      <t xml:space="preserve">PO-001</t>
    </r>
    <r>
      <rPr>
        <sz val="11"/>
        <color theme="1"/>
        <rFont val="Noto Sans CJK SC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지연 위험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Noto Sans CJK SC"/>
        <family val="2"/>
      </rPr>
      <t xml:space="preserve">표시</t>
    </r>
  </si>
  <si>
    <r>
      <rPr>
        <sz val="11"/>
        <color theme="1"/>
        <rFont val="Noto Sans CJK SC"/>
        <family val="2"/>
      </rPr>
      <t xml:space="preserve">시연 포인트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</si>
  <si>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사례</t>
    </r>
    <r>
      <rPr>
        <sz val="11"/>
        <color theme="1"/>
        <rFont val="Calibri"/>
        <family val="2"/>
        <charset val="1"/>
      </rPr>
      <t xml:space="preserve">2(</t>
    </r>
    <r>
      <rPr>
        <sz val="11"/>
        <color theme="1"/>
        <rFont val="Noto Sans CJK SC"/>
        <family val="2"/>
      </rPr>
      <t xml:space="preserve">알루미늄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대체 후보 중 가장 빠르고 공급량이 큰 에이스메탈</t>
    </r>
    <r>
      <rPr>
        <sz val="11"/>
        <color theme="1"/>
        <rFont val="Calibri"/>
        <family val="2"/>
        <charset val="1"/>
      </rPr>
      <t xml:space="preserve">(72%)</t>
    </r>
    <r>
      <rPr>
        <sz val="11"/>
        <color theme="1"/>
        <rFont val="Noto Sans CJK SC"/>
        <family val="2"/>
      </rPr>
      <t xml:space="preserve">이 위험 등급이라 후순위 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순위 진성오토텍</t>
    </r>
    <r>
      <rPr>
        <sz val="11"/>
        <color theme="1"/>
        <rFont val="Calibri"/>
        <family val="2"/>
        <charset val="1"/>
      </rPr>
      <t xml:space="preserve">(96%)</t>
    </r>
  </si>
  <si>
    <t xml:space="preserve">설계서 연결</t>
  </si>
  <si>
    <r>
      <rPr>
        <sz val="11"/>
        <color theme="1"/>
        <rFont val="Calibri"/>
        <family val="2"/>
        <charset val="1"/>
      </rPr>
      <t xml:space="preserve">PPC_</t>
    </r>
    <r>
      <rPr>
        <sz val="11"/>
        <color theme="1"/>
        <rFont val="Noto Sans CJK SC"/>
        <family val="2"/>
      </rPr>
      <t xml:space="preserve">설계서 </t>
    </r>
    <r>
      <rPr>
        <sz val="11"/>
        <color theme="1"/>
        <rFont val="Calibri"/>
        <family val="2"/>
        <charset val="1"/>
      </rPr>
      <t xml:space="preserve">§2.2 A10, §6.8 </t>
    </r>
    <r>
      <rPr>
        <sz val="11"/>
        <color theme="1"/>
        <rFont val="Noto Sans CJK SC"/>
        <family val="2"/>
      </rPr>
      <t xml:space="preserve">추천 규칙</t>
    </r>
    <r>
      <rPr>
        <sz val="11"/>
        <color theme="1"/>
        <rFont val="Calibri"/>
        <family val="2"/>
        <charset val="1"/>
      </rPr>
      <t xml:space="preserve">, §9 </t>
    </r>
    <r>
      <rPr>
        <sz val="11"/>
        <color theme="1"/>
        <rFont val="Noto Sans CJK SC"/>
        <family val="2"/>
      </rPr>
      <t xml:space="preserve">기대값</t>
    </r>
  </si>
  <si>
    <t xml:space="preserve">변경하지 않은 것</t>
  </si>
  <si>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모두 정상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월 공급가능량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다른 시트 전부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</si>
</sst>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0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customFormat="false" ht="15" hidden="false" customHeight="false" outlineLevel="0" collapsed="false">
      <c r="A4" s="0" t="s">
        <v>13</v>
      </c>
      <c r="B4" s="2" t="s">
        <v>6</v>
      </c>
      <c r="C4" s="2" t="s">
        <v>7</v>
      </c>
      <c r="D4" s="2" t="s">
        <v>14</v>
      </c>
      <c r="E4" s="2" t="s">
        <v>15</v>
      </c>
    </row>
    <row r="5" customFormat="false" ht="15" hidden="false" customHeight="false" outlineLevel="0" collapsed="false">
      <c r="A5" s="0" t="s">
        <v>16</v>
      </c>
      <c r="B5" s="2" t="s">
        <v>17</v>
      </c>
      <c r="C5" s="2" t="s">
        <v>18</v>
      </c>
      <c r="D5" s="2" t="s">
        <v>19</v>
      </c>
      <c r="E5" s="2" t="s">
        <v>9</v>
      </c>
    </row>
    <row r="6" customFormat="false" ht="15" hidden="false" customHeight="false" outlineLevel="0" collapsed="false">
      <c r="A6" s="0" t="s">
        <v>20</v>
      </c>
      <c r="B6" s="2" t="s">
        <v>17</v>
      </c>
      <c r="C6" s="2" t="s">
        <v>18</v>
      </c>
      <c r="D6" s="2" t="s">
        <v>19</v>
      </c>
      <c r="E6" s="2" t="s">
        <v>21</v>
      </c>
    </row>
    <row r="7" customFormat="false" ht="17.15" hidden="false" customHeight="false" outlineLevel="0" collapsed="false">
      <c r="A7" s="0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 customFormat="false" ht="17.15" hidden="false" customHeight="false" outlineLevel="0" collapsed="false">
      <c r="A8" s="0" t="s">
        <v>27</v>
      </c>
      <c r="B8" s="2" t="s">
        <v>23</v>
      </c>
      <c r="C8" s="2" t="s">
        <v>24</v>
      </c>
      <c r="D8" s="2" t="s">
        <v>11</v>
      </c>
      <c r="E8" s="2" t="s">
        <v>12</v>
      </c>
    </row>
    <row r="9" customFormat="false" ht="15" hidden="false" customHeight="false" outlineLevel="0" collapsed="false">
      <c r="A9" s="0" t="s">
        <v>28</v>
      </c>
      <c r="B9" s="2" t="s">
        <v>29</v>
      </c>
      <c r="C9" s="2" t="s">
        <v>30</v>
      </c>
      <c r="D9" s="2" t="s">
        <v>11</v>
      </c>
      <c r="E9" s="2" t="s">
        <v>12</v>
      </c>
    </row>
    <row r="10" customFormat="false" ht="17.15" hidden="false" customHeight="false" outlineLevel="0" collapsed="false">
      <c r="A10" s="0" t="s">
        <v>31</v>
      </c>
      <c r="B10" s="2" t="s">
        <v>23</v>
      </c>
      <c r="C10" s="2" t="s">
        <v>24</v>
      </c>
      <c r="D10" s="2" t="s">
        <v>11</v>
      </c>
      <c r="E10" s="2" t="s">
        <v>32</v>
      </c>
    </row>
    <row r="11" customFormat="false" ht="17.15" hidden="false" customHeight="false" outlineLevel="0" collapsed="false">
      <c r="A11" s="0" t="s">
        <v>33</v>
      </c>
      <c r="B11" s="2" t="s">
        <v>34</v>
      </c>
      <c r="C11" s="2" t="s">
        <v>35</v>
      </c>
      <c r="D11" s="2" t="s">
        <v>36</v>
      </c>
      <c r="E11" s="2" t="s">
        <v>15</v>
      </c>
    </row>
    <row r="12" customFormat="false" ht="17.15" hidden="false" customHeight="false" outlineLevel="0" collapsed="false">
      <c r="A12" s="0" t="s">
        <v>37</v>
      </c>
      <c r="B12" s="2" t="s">
        <v>34</v>
      </c>
      <c r="C12" s="2" t="s">
        <v>35</v>
      </c>
      <c r="D12" s="2" t="s">
        <v>36</v>
      </c>
      <c r="E12" s="2" t="s">
        <v>15</v>
      </c>
    </row>
    <row r="13" customFormat="false" ht="15" hidden="false" customHeight="false" outlineLevel="0" collapsed="false">
      <c r="A13" s="0" t="s">
        <v>38</v>
      </c>
      <c r="B13" s="2" t="s">
        <v>39</v>
      </c>
      <c r="C13" s="2" t="s">
        <v>40</v>
      </c>
      <c r="D13" s="2" t="s">
        <v>19</v>
      </c>
      <c r="E13" s="2" t="s">
        <v>21</v>
      </c>
    </row>
    <row r="14" customFormat="false" ht="15" hidden="false" customHeight="false" outlineLevel="0" collapsed="false">
      <c r="A14" s="0" t="s">
        <v>41</v>
      </c>
      <c r="B14" s="2" t="s">
        <v>42</v>
      </c>
      <c r="C14" s="2" t="s">
        <v>43</v>
      </c>
      <c r="D14" s="2" t="s">
        <v>11</v>
      </c>
      <c r="E14" s="2" t="s">
        <v>32</v>
      </c>
    </row>
    <row r="15" customFormat="false" ht="15" hidden="false" customHeight="false" outlineLevel="0" collapsed="false">
      <c r="A15" s="0" t="s">
        <v>44</v>
      </c>
      <c r="B15" s="2" t="s">
        <v>42</v>
      </c>
      <c r="C15" s="2" t="s">
        <v>43</v>
      </c>
      <c r="D15" s="2" t="s">
        <v>11</v>
      </c>
      <c r="E15" s="2" t="s">
        <v>12</v>
      </c>
    </row>
    <row r="16" customFormat="false" ht="15" hidden="false" customHeight="false" outlineLevel="0" collapsed="false">
      <c r="A16" s="0" t="s">
        <v>45</v>
      </c>
      <c r="B16" s="2" t="s">
        <v>39</v>
      </c>
      <c r="C16" s="2" t="s">
        <v>40</v>
      </c>
      <c r="D16" s="2" t="s">
        <v>19</v>
      </c>
      <c r="E16" s="2" t="s">
        <v>9</v>
      </c>
    </row>
    <row r="17" customFormat="false" ht="15" hidden="false" customHeight="false" outlineLevel="0" collapsed="false">
      <c r="A17" s="0" t="s">
        <v>46</v>
      </c>
      <c r="B17" s="2" t="s">
        <v>39</v>
      </c>
      <c r="C17" s="2" t="s">
        <v>40</v>
      </c>
      <c r="D17" s="2" t="s">
        <v>19</v>
      </c>
      <c r="E17" s="2" t="s">
        <v>21</v>
      </c>
    </row>
    <row r="18" customFormat="false" ht="15" hidden="false" customHeight="false" outlineLevel="0" collapsed="false">
      <c r="A18" s="0" t="s">
        <v>47</v>
      </c>
      <c r="B18" s="2" t="s">
        <v>39</v>
      </c>
      <c r="C18" s="2" t="s">
        <v>40</v>
      </c>
      <c r="D18" s="2" t="s">
        <v>19</v>
      </c>
      <c r="E18" s="2" t="s">
        <v>9</v>
      </c>
    </row>
    <row r="19" customFormat="false" ht="15" hidden="false" customHeight="false" outlineLevel="0" collapsed="false">
      <c r="A19" s="0" t="s">
        <v>48</v>
      </c>
      <c r="B19" s="2" t="s">
        <v>39</v>
      </c>
      <c r="C19" s="2" t="s">
        <v>40</v>
      </c>
      <c r="D19" s="2" t="s">
        <v>49</v>
      </c>
      <c r="E19" s="2" t="s">
        <v>50</v>
      </c>
    </row>
    <row r="20" customFormat="false" ht="15" hidden="false" customHeight="false" outlineLevel="0" collapsed="false">
      <c r="A20" s="0" t="s">
        <v>51</v>
      </c>
      <c r="B20" s="2" t="s">
        <v>39</v>
      </c>
      <c r="C20" s="2" t="s">
        <v>40</v>
      </c>
      <c r="D20" s="2" t="s">
        <v>19</v>
      </c>
      <c r="E20" s="2" t="s">
        <v>21</v>
      </c>
    </row>
    <row r="21" customFormat="false" ht="17.15" hidden="false" customHeight="false" outlineLevel="0" collapsed="false">
      <c r="A21" s="0" t="s">
        <v>52</v>
      </c>
      <c r="B21" s="2" t="s">
        <v>23</v>
      </c>
      <c r="C21" s="2" t="s">
        <v>24</v>
      </c>
      <c r="D21" s="2" t="s">
        <v>49</v>
      </c>
      <c r="E21" s="2" t="s">
        <v>50</v>
      </c>
    </row>
    <row r="22" customFormat="false" ht="17.15" hidden="false" customHeight="false" outlineLevel="0" collapsed="false">
      <c r="A22" s="0" t="s">
        <v>53</v>
      </c>
      <c r="B22" s="2" t="s">
        <v>23</v>
      </c>
      <c r="C22" s="2" t="s">
        <v>24</v>
      </c>
      <c r="D22" s="2" t="s">
        <v>8</v>
      </c>
      <c r="E22" s="2" t="s">
        <v>9</v>
      </c>
    </row>
    <row r="23" customFormat="false" ht="17.15" hidden="false" customHeight="false" outlineLevel="0" collapsed="false">
      <c r="A23" s="0" t="s">
        <v>54</v>
      </c>
      <c r="B23" s="2" t="s">
        <v>23</v>
      </c>
      <c r="C23" s="2" t="s">
        <v>24</v>
      </c>
      <c r="D23" s="2" t="s">
        <v>11</v>
      </c>
      <c r="E23" s="2" t="s">
        <v>32</v>
      </c>
    </row>
    <row r="24" customFormat="false" ht="17.15" hidden="false" customHeight="false" outlineLevel="0" collapsed="false">
      <c r="A24" s="0" t="s">
        <v>55</v>
      </c>
      <c r="B24" s="2" t="s">
        <v>23</v>
      </c>
      <c r="C24" s="2" t="s">
        <v>24</v>
      </c>
      <c r="D24" s="2" t="s">
        <v>36</v>
      </c>
      <c r="E24" s="2" t="s">
        <v>15</v>
      </c>
    </row>
    <row r="25" customFormat="false" ht="15" hidden="false" customHeight="false" outlineLevel="0" collapsed="false">
      <c r="A25" s="0" t="s">
        <v>56</v>
      </c>
      <c r="B25" s="2" t="s">
        <v>29</v>
      </c>
      <c r="C25" s="2" t="s">
        <v>30</v>
      </c>
      <c r="D25" s="2" t="s">
        <v>8</v>
      </c>
      <c r="E25" s="2" t="s">
        <v>9</v>
      </c>
    </row>
    <row r="26" customFormat="false" ht="15" hidden="false" customHeight="false" outlineLevel="0" collapsed="false">
      <c r="A26" s="0" t="s">
        <v>57</v>
      </c>
      <c r="B26" s="2" t="s">
        <v>29</v>
      </c>
      <c r="C26" s="2" t="s">
        <v>30</v>
      </c>
      <c r="D26" s="2" t="s">
        <v>11</v>
      </c>
      <c r="E26" s="2" t="s">
        <v>12</v>
      </c>
    </row>
    <row r="27" customFormat="false" ht="15" hidden="false" customHeight="false" outlineLevel="0" collapsed="false">
      <c r="A27" s="0" t="s">
        <v>58</v>
      </c>
      <c r="B27" s="2" t="s">
        <v>29</v>
      </c>
      <c r="C27" s="2" t="s">
        <v>30</v>
      </c>
      <c r="D27" s="2" t="s">
        <v>36</v>
      </c>
      <c r="E27" s="2" t="s">
        <v>15</v>
      </c>
    </row>
    <row r="28" customFormat="false" ht="15" hidden="false" customHeight="false" outlineLevel="0" collapsed="false">
      <c r="A28" s="0" t="s">
        <v>59</v>
      </c>
      <c r="B28" s="2" t="s">
        <v>17</v>
      </c>
      <c r="C28" s="2" t="s">
        <v>18</v>
      </c>
      <c r="D28" s="2" t="s">
        <v>36</v>
      </c>
      <c r="E28" s="2" t="s">
        <v>21</v>
      </c>
    </row>
    <row r="29" customFormat="false" ht="15" hidden="false" customHeight="false" outlineLevel="0" collapsed="false">
      <c r="A29" s="0" t="s">
        <v>60</v>
      </c>
      <c r="B29" s="2" t="s">
        <v>17</v>
      </c>
      <c r="C29" s="2" t="s">
        <v>18</v>
      </c>
      <c r="D29" s="2" t="s">
        <v>19</v>
      </c>
      <c r="E29" s="2" t="s">
        <v>9</v>
      </c>
    </row>
    <row r="30" customFormat="false" ht="15" hidden="false" customHeight="false" outlineLevel="0" collapsed="false">
      <c r="A30" s="0" t="s">
        <v>61</v>
      </c>
      <c r="B30" s="2" t="s">
        <v>6</v>
      </c>
      <c r="C30" s="2" t="s">
        <v>7</v>
      </c>
      <c r="D30" s="2" t="s">
        <v>19</v>
      </c>
      <c r="E30" s="2" t="s">
        <v>21</v>
      </c>
    </row>
    <row r="31" customFormat="false" ht="15" hidden="false" customHeight="false" outlineLevel="0" collapsed="false">
      <c r="A31" s="0" t="s">
        <v>62</v>
      </c>
      <c r="B31" s="2" t="s">
        <v>6</v>
      </c>
      <c r="C31" s="2" t="s">
        <v>7</v>
      </c>
      <c r="D31" s="2" t="s">
        <v>19</v>
      </c>
      <c r="E31" s="2" t="s">
        <v>9</v>
      </c>
    </row>
  </sheetData>
  <autoFilter ref="A1:E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15"/>
  </cols>
  <sheetData>
    <row r="1" customFormat="false" ht="17.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4</v>
      </c>
      <c r="E1" s="1" t="s">
        <v>66</v>
      </c>
      <c r="F1" s="1" t="s">
        <v>67</v>
      </c>
      <c r="G1" s="1" t="s">
        <v>68</v>
      </c>
    </row>
    <row r="2" customFormat="false" ht="15" hidden="false" customHeight="false" outlineLevel="0" collapsed="false">
      <c r="A2" s="0" t="s">
        <v>69</v>
      </c>
      <c r="B2" s="2" t="s">
        <v>8</v>
      </c>
      <c r="C2" s="0" t="s">
        <v>70</v>
      </c>
      <c r="D2" s="2" t="s">
        <v>9</v>
      </c>
      <c r="E2" s="0" t="n">
        <v>5</v>
      </c>
      <c r="F2" s="0" t="n">
        <v>3</v>
      </c>
      <c r="G2" s="0" t="n">
        <v>3.8</v>
      </c>
    </row>
    <row r="3" customFormat="false" ht="15" hidden="false" customHeight="false" outlineLevel="0" collapsed="false">
      <c r="A3" s="0" t="s">
        <v>71</v>
      </c>
      <c r="B3" s="2" t="s">
        <v>11</v>
      </c>
      <c r="C3" s="0" t="s">
        <v>70</v>
      </c>
      <c r="D3" s="2" t="s">
        <v>12</v>
      </c>
      <c r="E3" s="0" t="n">
        <v>4</v>
      </c>
      <c r="F3" s="0" t="n">
        <v>5</v>
      </c>
      <c r="G3" s="0" t="n">
        <v>4.3</v>
      </c>
    </row>
    <row r="4" customFormat="false" ht="15" hidden="false" customHeight="false" outlineLevel="0" collapsed="false">
      <c r="A4" s="0" t="s">
        <v>72</v>
      </c>
      <c r="B4" s="2" t="s">
        <v>14</v>
      </c>
      <c r="C4" s="0" t="s">
        <v>70</v>
      </c>
      <c r="D4" s="2" t="s">
        <v>15</v>
      </c>
      <c r="E4" s="0" t="n">
        <v>3</v>
      </c>
      <c r="F4" s="0" t="n">
        <v>7</v>
      </c>
      <c r="G4" s="0" t="n">
        <v>4.4</v>
      </c>
    </row>
    <row r="5" customFormat="false" ht="15" hidden="false" customHeight="false" outlineLevel="0" collapsed="false">
      <c r="A5" s="0" t="s">
        <v>73</v>
      </c>
      <c r="B5" s="2" t="s">
        <v>19</v>
      </c>
      <c r="C5" s="0" t="s">
        <v>70</v>
      </c>
      <c r="D5" s="2" t="s">
        <v>9</v>
      </c>
      <c r="E5" s="0" t="n">
        <v>10</v>
      </c>
      <c r="F5" s="0" t="n">
        <v>5</v>
      </c>
      <c r="G5" s="0" t="n">
        <v>3.7</v>
      </c>
    </row>
    <row r="6" customFormat="false" ht="15" hidden="false" customHeight="false" outlineLevel="0" collapsed="false">
      <c r="A6" s="0" t="s">
        <v>74</v>
      </c>
      <c r="B6" s="2" t="s">
        <v>25</v>
      </c>
      <c r="C6" s="0" t="s">
        <v>70</v>
      </c>
      <c r="D6" s="2" t="s">
        <v>26</v>
      </c>
      <c r="E6" s="0" t="n">
        <v>8</v>
      </c>
      <c r="F6" s="0" t="n">
        <v>6</v>
      </c>
      <c r="G6" s="0" t="n">
        <v>3.1</v>
      </c>
    </row>
    <row r="7" customFormat="false" ht="15" hidden="false" customHeight="false" outlineLevel="0" collapsed="false">
      <c r="A7" s="0" t="s">
        <v>75</v>
      </c>
      <c r="B7" s="2" t="s">
        <v>36</v>
      </c>
      <c r="C7" s="0" t="s">
        <v>70</v>
      </c>
      <c r="D7" s="2" t="s">
        <v>15</v>
      </c>
      <c r="E7" s="0" t="n">
        <v>6</v>
      </c>
      <c r="F7" s="0" t="n">
        <v>7</v>
      </c>
      <c r="G7" s="0" t="n">
        <v>4.5</v>
      </c>
    </row>
    <row r="8" customFormat="false" ht="15" hidden="false" customHeight="false" outlineLevel="0" collapsed="false">
      <c r="A8" s="0" t="s">
        <v>76</v>
      </c>
      <c r="B8" s="2" t="s">
        <v>49</v>
      </c>
      <c r="C8" s="0" t="s">
        <v>70</v>
      </c>
      <c r="D8" s="2" t="s">
        <v>50</v>
      </c>
      <c r="E8" s="0" t="n">
        <v>5</v>
      </c>
      <c r="F8" s="0" t="n">
        <v>6</v>
      </c>
      <c r="G8" s="0" t="n">
        <v>4.5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15" hidden="false" customHeight="false" outlineLevel="0" collapsed="false">
      <c r="A1" s="1" t="s">
        <v>77</v>
      </c>
      <c r="B1" s="1" t="s">
        <v>78</v>
      </c>
      <c r="C1" s="1" t="s">
        <v>79</v>
      </c>
      <c r="D1" s="1" t="s">
        <v>67</v>
      </c>
      <c r="E1" s="1" t="s">
        <v>80</v>
      </c>
      <c r="F1" s="1" t="s">
        <v>81</v>
      </c>
      <c r="G1" s="2" t="s">
        <v>82</v>
      </c>
      <c r="H1" s="2" t="s">
        <v>83</v>
      </c>
      <c r="I1" s="1" t="s">
        <v>84</v>
      </c>
    </row>
    <row r="2" customFormat="false" ht="17.15" hidden="false" customHeight="false" outlineLevel="0" collapsed="false">
      <c r="A2" s="0" t="s">
        <v>85</v>
      </c>
      <c r="B2" s="2" t="s">
        <v>9</v>
      </c>
      <c r="C2" s="2" t="s">
        <v>86</v>
      </c>
      <c r="D2" s="0" t="n">
        <v>4</v>
      </c>
      <c r="E2" s="0" t="n">
        <v>2</v>
      </c>
      <c r="F2" s="2" t="s">
        <v>87</v>
      </c>
      <c r="G2" s="0" t="n">
        <v>2800</v>
      </c>
      <c r="H2" s="0" t="n">
        <v>86</v>
      </c>
      <c r="I2" s="3" t="str">
        <f aca="false">IF(H2&gt;=95,"우수",IF(H2&gt;=80,"보통","위험"))</f>
        <v>보통</v>
      </c>
    </row>
    <row r="3" customFormat="false" ht="17.15" hidden="false" customHeight="false" outlineLevel="0" collapsed="false">
      <c r="A3" s="0" t="s">
        <v>88</v>
      </c>
      <c r="B3" s="2" t="s">
        <v>12</v>
      </c>
      <c r="C3" s="2" t="s">
        <v>89</v>
      </c>
      <c r="D3" s="0" t="n">
        <v>5</v>
      </c>
      <c r="E3" s="0" t="n">
        <v>4</v>
      </c>
      <c r="F3" s="2" t="s">
        <v>87</v>
      </c>
      <c r="G3" s="0" t="n">
        <v>3231</v>
      </c>
      <c r="H3" s="0" t="n">
        <v>76</v>
      </c>
      <c r="I3" s="3" t="str">
        <f aca="false">IF(H3&gt;=95,"우수",IF(H3&gt;=80,"보통","위험"))</f>
        <v>위험</v>
      </c>
    </row>
    <row r="4" customFormat="false" ht="17.15" hidden="false" customHeight="false" outlineLevel="0" collapsed="false">
      <c r="A4" s="0" t="s">
        <v>90</v>
      </c>
      <c r="B4" s="2" t="s">
        <v>15</v>
      </c>
      <c r="C4" s="2" t="s">
        <v>91</v>
      </c>
      <c r="D4" s="0" t="n">
        <v>6</v>
      </c>
      <c r="E4" s="0" t="n">
        <v>4</v>
      </c>
      <c r="F4" s="2" t="s">
        <v>87</v>
      </c>
      <c r="G4" s="0" t="n">
        <v>3662</v>
      </c>
      <c r="H4" s="0" t="n">
        <v>82</v>
      </c>
      <c r="I4" s="3" t="str">
        <f aca="false">IF(H4&gt;=95,"우수",IF(H4&gt;=80,"보통","위험"))</f>
        <v>보통</v>
      </c>
    </row>
    <row r="5" customFormat="false" ht="17.15" hidden="false" customHeight="false" outlineLevel="0" collapsed="false">
      <c r="A5" s="0" t="s">
        <v>92</v>
      </c>
      <c r="B5" s="2" t="s">
        <v>21</v>
      </c>
      <c r="C5" s="2" t="s">
        <v>93</v>
      </c>
      <c r="D5" s="0" t="n">
        <v>7</v>
      </c>
      <c r="E5" s="0" t="n">
        <v>6</v>
      </c>
      <c r="F5" s="2" t="s">
        <v>87</v>
      </c>
      <c r="G5" s="0" t="n">
        <v>4093</v>
      </c>
      <c r="H5" s="0" t="n">
        <v>92</v>
      </c>
      <c r="I5" s="3" t="str">
        <f aca="false">IF(H5&gt;=95,"우수",IF(H5&gt;=80,"보통","위험"))</f>
        <v>보통</v>
      </c>
    </row>
    <row r="6" customFormat="false" ht="17.15" hidden="false" customHeight="false" outlineLevel="0" collapsed="false">
      <c r="A6" s="0" t="s">
        <v>94</v>
      </c>
      <c r="B6" s="2" t="s">
        <v>26</v>
      </c>
      <c r="C6" s="2" t="s">
        <v>95</v>
      </c>
      <c r="D6" s="0" t="n">
        <v>4</v>
      </c>
      <c r="E6" s="0" t="n">
        <v>2</v>
      </c>
      <c r="F6" s="2" t="s">
        <v>87</v>
      </c>
      <c r="G6" s="0" t="n">
        <v>4524</v>
      </c>
      <c r="H6" s="0" t="n">
        <v>90</v>
      </c>
      <c r="I6" s="3" t="str">
        <f aca="false">IF(H6&gt;=95,"우수",IF(H6&gt;=80,"보통","위험"))</f>
        <v>보통</v>
      </c>
    </row>
    <row r="7" customFormat="false" ht="17.15" hidden="false" customHeight="false" outlineLevel="0" collapsed="false">
      <c r="A7" s="0" t="s">
        <v>96</v>
      </c>
      <c r="B7" s="2" t="s">
        <v>32</v>
      </c>
      <c r="C7" s="2" t="s">
        <v>11</v>
      </c>
      <c r="D7" s="0" t="n">
        <v>5</v>
      </c>
      <c r="E7" s="0" t="n">
        <v>4</v>
      </c>
      <c r="F7" s="2" t="s">
        <v>87</v>
      </c>
      <c r="G7" s="0" t="n">
        <v>4955</v>
      </c>
      <c r="H7" s="0" t="n">
        <v>95</v>
      </c>
      <c r="I7" s="3" t="str">
        <f aca="false">IF(H7&gt;=95,"우수",IF(H7&gt;=80,"보통","위험"))</f>
        <v>우수</v>
      </c>
    </row>
    <row r="8" customFormat="false" ht="17.15" hidden="false" customHeight="false" outlineLevel="0" collapsed="false">
      <c r="A8" s="0" t="s">
        <v>97</v>
      </c>
      <c r="B8" s="2" t="s">
        <v>50</v>
      </c>
      <c r="C8" s="2" t="s">
        <v>98</v>
      </c>
      <c r="D8" s="0" t="n">
        <v>6</v>
      </c>
      <c r="E8" s="0" t="n">
        <v>4</v>
      </c>
      <c r="F8" s="2" t="s">
        <v>87</v>
      </c>
      <c r="G8" s="0" t="n">
        <v>5386</v>
      </c>
      <c r="H8" s="0" t="n">
        <v>88</v>
      </c>
      <c r="I8" s="3" t="str">
        <f aca="false">IF(H8&gt;=95,"우수",IF(H8&gt;=80,"보통","위험"))</f>
        <v>보통</v>
      </c>
    </row>
    <row r="9" customFormat="false" ht="17.15" hidden="false" customHeight="false" outlineLevel="0" collapsed="false">
      <c r="A9" s="0" t="s">
        <v>99</v>
      </c>
      <c r="B9" s="2" t="s">
        <v>100</v>
      </c>
      <c r="C9" s="2" t="s">
        <v>86</v>
      </c>
      <c r="D9" s="0" t="n">
        <v>7</v>
      </c>
      <c r="E9" s="0" t="n">
        <v>6</v>
      </c>
      <c r="F9" s="2" t="s">
        <v>87</v>
      </c>
      <c r="G9" s="0" t="n">
        <v>2817</v>
      </c>
      <c r="H9" s="0" t="n">
        <v>74</v>
      </c>
      <c r="I9" s="3" t="str">
        <f aca="false">IF(H9&gt;=95,"우수",IF(H9&gt;=80,"보통","위험"))</f>
        <v>위험</v>
      </c>
    </row>
    <row r="10" customFormat="false" ht="17.15" hidden="false" customHeight="false" outlineLevel="0" collapsed="false">
      <c r="A10" s="0" t="s">
        <v>101</v>
      </c>
      <c r="B10" s="2" t="s">
        <v>102</v>
      </c>
      <c r="C10" s="2" t="s">
        <v>103</v>
      </c>
      <c r="D10" s="0" t="n">
        <v>4</v>
      </c>
      <c r="E10" s="0" t="n">
        <v>2</v>
      </c>
      <c r="F10" s="2" t="s">
        <v>87</v>
      </c>
      <c r="G10" s="0" t="n">
        <v>3248</v>
      </c>
      <c r="H10" s="0" t="n">
        <v>88</v>
      </c>
      <c r="I10" s="3" t="str">
        <f aca="false">IF(H10&gt;=95,"우수",IF(H10&gt;=80,"보통","위험"))</f>
        <v>보통</v>
      </c>
    </row>
    <row r="11" customFormat="false" ht="17.15" hidden="false" customHeight="false" outlineLevel="0" collapsed="false">
      <c r="A11" s="0" t="s">
        <v>104</v>
      </c>
      <c r="B11" s="2" t="s">
        <v>105</v>
      </c>
      <c r="C11" s="2" t="s">
        <v>95</v>
      </c>
      <c r="D11" s="0" t="n">
        <v>5</v>
      </c>
      <c r="E11" s="0" t="n">
        <v>4</v>
      </c>
      <c r="F11" s="2" t="s">
        <v>87</v>
      </c>
      <c r="G11" s="0" t="n">
        <v>3679</v>
      </c>
      <c r="H11" s="0" t="n">
        <v>93</v>
      </c>
      <c r="I11" s="3" t="str">
        <f aca="false">IF(H11&gt;=95,"우수",IF(H11&gt;=80,"보통","위험"))</f>
        <v>보통</v>
      </c>
    </row>
    <row r="12" customFormat="false" ht="17.15" hidden="false" customHeight="false" outlineLevel="0" collapsed="false">
      <c r="A12" s="0" t="s">
        <v>106</v>
      </c>
      <c r="B12" s="2" t="s">
        <v>107</v>
      </c>
      <c r="C12" s="2" t="s">
        <v>108</v>
      </c>
      <c r="D12" s="0" t="n">
        <v>6</v>
      </c>
      <c r="E12" s="0" t="n">
        <v>4</v>
      </c>
      <c r="F12" s="2" t="s">
        <v>87</v>
      </c>
      <c r="G12" s="0" t="n">
        <v>4110</v>
      </c>
      <c r="H12" s="0" t="n">
        <v>90</v>
      </c>
      <c r="I12" s="3" t="str">
        <f aca="false">IF(H12&gt;=95,"우수",IF(H12&gt;=80,"보통","위험"))</f>
        <v>보통</v>
      </c>
    </row>
    <row r="13" customFormat="false" ht="17.15" hidden="false" customHeight="false" outlineLevel="0" collapsed="false">
      <c r="A13" s="0" t="s">
        <v>109</v>
      </c>
      <c r="B13" s="2" t="s">
        <v>110</v>
      </c>
      <c r="C13" s="2" t="s">
        <v>98</v>
      </c>
      <c r="D13" s="0" t="n">
        <v>7</v>
      </c>
      <c r="E13" s="0" t="n">
        <v>6</v>
      </c>
      <c r="F13" s="2" t="s">
        <v>87</v>
      </c>
      <c r="G13" s="0" t="n">
        <v>4541</v>
      </c>
      <c r="H13" s="0" t="n">
        <v>85</v>
      </c>
      <c r="I13" s="3" t="str">
        <f aca="false">IF(H13&gt;=95,"우수",IF(H13&gt;=80,"보통","위험"))</f>
        <v>보통</v>
      </c>
    </row>
    <row r="14" customFormat="false" ht="17.15" hidden="false" customHeight="false" outlineLevel="0" collapsed="false">
      <c r="A14" s="0" t="s">
        <v>111</v>
      </c>
      <c r="B14" s="2" t="s">
        <v>112</v>
      </c>
      <c r="C14" s="2" t="s">
        <v>93</v>
      </c>
      <c r="D14" s="0" t="n">
        <v>4</v>
      </c>
      <c r="E14" s="0" t="n">
        <v>2</v>
      </c>
      <c r="F14" s="2" t="s">
        <v>87</v>
      </c>
      <c r="G14" s="0" t="n">
        <v>4972</v>
      </c>
      <c r="H14" s="0" t="n">
        <v>94</v>
      </c>
      <c r="I14" s="3" t="str">
        <f aca="false">IF(H14&gt;=95,"우수",IF(H14&gt;=80,"보통","위험"))</f>
        <v>보통</v>
      </c>
    </row>
    <row r="15" customFormat="false" ht="17.15" hidden="false" customHeight="false" outlineLevel="0" collapsed="false">
      <c r="A15" s="0" t="s">
        <v>113</v>
      </c>
      <c r="B15" s="2" t="s">
        <v>114</v>
      </c>
      <c r="C15" s="2" t="s">
        <v>115</v>
      </c>
      <c r="D15" s="0" t="n">
        <v>5</v>
      </c>
      <c r="E15" s="0" t="n">
        <v>4</v>
      </c>
      <c r="F15" s="2" t="s">
        <v>87</v>
      </c>
      <c r="G15" s="0" t="n">
        <v>5403</v>
      </c>
      <c r="H15" s="0" t="n">
        <v>81</v>
      </c>
      <c r="I15" s="3" t="str">
        <f aca="false">IF(H15&gt;=95,"우수",IF(H15&gt;=80,"보통","위험"))</f>
        <v>보통</v>
      </c>
    </row>
    <row r="16" customFormat="false" ht="17.15" hidden="false" customHeight="false" outlineLevel="0" collapsed="false">
      <c r="A16" s="0" t="s">
        <v>116</v>
      </c>
      <c r="B16" s="2" t="s">
        <v>117</v>
      </c>
      <c r="C16" s="2" t="s">
        <v>89</v>
      </c>
      <c r="D16" s="0" t="n">
        <v>6</v>
      </c>
      <c r="E16" s="0" t="n">
        <v>4</v>
      </c>
      <c r="F16" s="2" t="s">
        <v>87</v>
      </c>
      <c r="G16" s="0" t="n">
        <v>2834</v>
      </c>
      <c r="H16" s="0" t="n">
        <v>97</v>
      </c>
      <c r="I16" s="3" t="str">
        <f aca="false">IF(H16&gt;=95,"우수",IF(H16&gt;=80,"보통","위험"))</f>
        <v>우수</v>
      </c>
    </row>
    <row r="17" customFormat="false" ht="17.15" hidden="false" customHeight="false" outlineLevel="0" collapsed="false">
      <c r="A17" s="0" t="s">
        <v>118</v>
      </c>
      <c r="B17" s="2" t="s">
        <v>119</v>
      </c>
      <c r="C17" s="2" t="s">
        <v>93</v>
      </c>
      <c r="D17" s="0" t="n">
        <v>7</v>
      </c>
      <c r="E17" s="0" t="n">
        <v>6</v>
      </c>
      <c r="F17" s="2" t="s">
        <v>87</v>
      </c>
      <c r="G17" s="0" t="n">
        <v>3265</v>
      </c>
      <c r="H17" s="0" t="n">
        <v>87</v>
      </c>
      <c r="I17" s="3" t="str">
        <f aca="false">IF(H17&gt;=95,"우수",IF(H17&gt;=80,"보통","위험"))</f>
        <v>보통</v>
      </c>
    </row>
    <row r="18" customFormat="false" ht="17.15" hidden="false" customHeight="false" outlineLevel="0" collapsed="false">
      <c r="A18" s="0" t="s">
        <v>120</v>
      </c>
      <c r="B18" s="2" t="s">
        <v>121</v>
      </c>
      <c r="C18" s="2" t="s">
        <v>122</v>
      </c>
      <c r="D18" s="0" t="n">
        <v>4</v>
      </c>
      <c r="E18" s="0" t="n">
        <v>2</v>
      </c>
      <c r="F18" s="2" t="s">
        <v>87</v>
      </c>
      <c r="G18" s="0" t="n">
        <v>3696</v>
      </c>
      <c r="H18" s="0" t="n">
        <v>96</v>
      </c>
      <c r="I18" s="3" t="str">
        <f aca="false">IF(H18&gt;=95,"우수",IF(H18&gt;=80,"보통","위험"))</f>
        <v>우수</v>
      </c>
    </row>
    <row r="19" customFormat="false" ht="17.15" hidden="false" customHeight="false" outlineLevel="0" collapsed="false">
      <c r="A19" s="0" t="s">
        <v>123</v>
      </c>
      <c r="B19" s="2" t="s">
        <v>124</v>
      </c>
      <c r="C19" s="2" t="s">
        <v>125</v>
      </c>
      <c r="D19" s="0" t="n">
        <v>5</v>
      </c>
      <c r="E19" s="0" t="n">
        <v>4</v>
      </c>
      <c r="F19" s="2" t="s">
        <v>87</v>
      </c>
      <c r="G19" s="0" t="n">
        <v>4127</v>
      </c>
      <c r="H19" s="0" t="n">
        <v>91</v>
      </c>
      <c r="I19" s="3" t="str">
        <f aca="false">IF(H19&gt;=95,"우수",IF(H19&gt;=80,"보통","위험"))</f>
        <v>보통</v>
      </c>
    </row>
    <row r="20" customFormat="false" ht="17.15" hidden="false" customHeight="false" outlineLevel="0" collapsed="false">
      <c r="A20" s="0" t="s">
        <v>126</v>
      </c>
      <c r="B20" s="2" t="s">
        <v>127</v>
      </c>
      <c r="C20" s="2" t="s">
        <v>95</v>
      </c>
      <c r="D20" s="0" t="n">
        <v>6</v>
      </c>
      <c r="E20" s="0" t="n">
        <v>4</v>
      </c>
      <c r="F20" s="2" t="s">
        <v>87</v>
      </c>
      <c r="G20" s="0" t="n">
        <v>4558</v>
      </c>
      <c r="H20" s="0" t="n">
        <v>69</v>
      </c>
      <c r="I20" s="3" t="str">
        <f aca="false">IF(H20&gt;=95,"우수",IF(H20&gt;=80,"보통","위험"))</f>
        <v>위험</v>
      </c>
    </row>
    <row r="21" customFormat="false" ht="17.15" hidden="false" customHeight="false" outlineLevel="0" collapsed="false">
      <c r="A21" s="0" t="s">
        <v>128</v>
      </c>
      <c r="B21" s="2" t="s">
        <v>129</v>
      </c>
      <c r="C21" s="2" t="s">
        <v>130</v>
      </c>
      <c r="D21" s="0" t="n">
        <v>7</v>
      </c>
      <c r="E21" s="0" t="n">
        <v>6</v>
      </c>
      <c r="F21" s="2" t="s">
        <v>87</v>
      </c>
      <c r="G21" s="0" t="n">
        <v>4989</v>
      </c>
      <c r="H21" s="0" t="n">
        <v>84</v>
      </c>
      <c r="I21" s="3" t="str">
        <f aca="false">IF(H21&gt;=95,"우수",IF(H21&gt;=80,"보통","위험"))</f>
        <v>보통</v>
      </c>
    </row>
    <row r="22" customFormat="false" ht="17.15" hidden="false" customHeight="false" outlineLevel="0" collapsed="false">
      <c r="A22" s="0" t="s">
        <v>131</v>
      </c>
      <c r="B22" s="2" t="s">
        <v>132</v>
      </c>
      <c r="C22" s="2" t="s">
        <v>133</v>
      </c>
      <c r="D22" s="0" t="n">
        <v>4</v>
      </c>
      <c r="E22" s="0" t="n">
        <v>2</v>
      </c>
      <c r="F22" s="2" t="s">
        <v>87</v>
      </c>
      <c r="G22" s="0" t="n">
        <v>5420</v>
      </c>
      <c r="H22" s="0" t="n">
        <v>91</v>
      </c>
      <c r="I22" s="3" t="str">
        <f aca="false">IF(H22&gt;=95,"우수",IF(H22&gt;=80,"보통","위험"))</f>
        <v>보통</v>
      </c>
    </row>
    <row r="23" customFormat="false" ht="17.15" hidden="false" customHeight="false" outlineLevel="0" collapsed="false">
      <c r="A23" s="0" t="s">
        <v>134</v>
      </c>
      <c r="B23" s="2" t="s">
        <v>135</v>
      </c>
      <c r="C23" s="2" t="s">
        <v>136</v>
      </c>
      <c r="D23" s="0" t="n">
        <v>5</v>
      </c>
      <c r="E23" s="0" t="n">
        <v>4</v>
      </c>
      <c r="F23" s="2" t="s">
        <v>87</v>
      </c>
      <c r="G23" s="0" t="n">
        <v>2851</v>
      </c>
      <c r="H23" s="0" t="n">
        <v>89</v>
      </c>
      <c r="I23" s="3" t="str">
        <f aca="false">IF(H23&gt;=95,"우수",IF(H23&gt;=80,"보통","위험"))</f>
        <v>보통</v>
      </c>
    </row>
    <row r="24" customFormat="false" ht="17.15" hidden="false" customHeight="false" outlineLevel="0" collapsed="false">
      <c r="A24" s="0" t="s">
        <v>137</v>
      </c>
      <c r="B24" s="2" t="s">
        <v>138</v>
      </c>
      <c r="C24" s="2" t="s">
        <v>139</v>
      </c>
      <c r="D24" s="0" t="n">
        <v>6</v>
      </c>
      <c r="E24" s="0" t="n">
        <v>4</v>
      </c>
      <c r="F24" s="2" t="s">
        <v>87</v>
      </c>
      <c r="G24" s="0" t="n">
        <v>3282</v>
      </c>
      <c r="H24" s="0" t="n">
        <v>93</v>
      </c>
      <c r="I24" s="3" t="str">
        <f aca="false">IF(H24&gt;=95,"우수",IF(H24&gt;=80,"보통","위험"))</f>
        <v>보통</v>
      </c>
    </row>
    <row r="25" customFormat="false" ht="17.15" hidden="false" customHeight="false" outlineLevel="0" collapsed="false">
      <c r="A25" s="0" t="s">
        <v>140</v>
      </c>
      <c r="B25" s="2" t="s">
        <v>141</v>
      </c>
      <c r="C25" s="2" t="s">
        <v>91</v>
      </c>
      <c r="D25" s="0" t="n">
        <v>7</v>
      </c>
      <c r="E25" s="0" t="n">
        <v>6</v>
      </c>
      <c r="F25" s="2" t="s">
        <v>87</v>
      </c>
      <c r="G25" s="0" t="n">
        <v>3713</v>
      </c>
      <c r="H25" s="0" t="n">
        <v>77</v>
      </c>
      <c r="I25" s="3" t="str">
        <f aca="false">IF(H25&gt;=95,"우수",IF(H25&gt;=80,"보통","위험"))</f>
        <v>위험</v>
      </c>
    </row>
    <row r="26" customFormat="false" ht="17.15" hidden="false" customHeight="false" outlineLevel="0" collapsed="false">
      <c r="A26" s="0" t="s">
        <v>142</v>
      </c>
      <c r="B26" s="2" t="s">
        <v>143</v>
      </c>
      <c r="C26" s="2" t="s">
        <v>103</v>
      </c>
      <c r="D26" s="0" t="n">
        <v>4</v>
      </c>
      <c r="E26" s="0" t="n">
        <v>2</v>
      </c>
      <c r="F26" s="2" t="s">
        <v>87</v>
      </c>
      <c r="G26" s="0" t="n">
        <v>4144</v>
      </c>
      <c r="H26" s="0" t="n">
        <v>72</v>
      </c>
      <c r="I26" s="3" t="str">
        <f aca="false">IF(H26&gt;=95,"우수",IF(H26&gt;=80,"보통","위험"))</f>
        <v>위험</v>
      </c>
    </row>
    <row r="27" customFormat="false" ht="17.15" hidden="false" customHeight="false" outlineLevel="0" collapsed="false">
      <c r="A27" s="0" t="s">
        <v>144</v>
      </c>
      <c r="B27" s="2" t="s">
        <v>145</v>
      </c>
      <c r="C27" s="2" t="s">
        <v>146</v>
      </c>
      <c r="D27" s="0" t="n">
        <v>5</v>
      </c>
      <c r="E27" s="0" t="n">
        <v>4</v>
      </c>
      <c r="F27" s="2" t="s">
        <v>87</v>
      </c>
      <c r="G27" s="0" t="n">
        <v>4575</v>
      </c>
      <c r="H27" s="0" t="n">
        <v>95</v>
      </c>
      <c r="I27" s="3" t="str">
        <f aca="false">IF(H27&gt;=95,"우수",IF(H27&gt;=80,"보통","위험"))</f>
        <v>우수</v>
      </c>
    </row>
    <row r="28" customFormat="false" ht="17.15" hidden="false" customHeight="false" outlineLevel="0" collapsed="false">
      <c r="A28" s="0" t="s">
        <v>147</v>
      </c>
      <c r="B28" s="2" t="s">
        <v>148</v>
      </c>
      <c r="C28" s="2" t="s">
        <v>103</v>
      </c>
      <c r="D28" s="0" t="n">
        <v>6</v>
      </c>
      <c r="E28" s="0" t="n">
        <v>4</v>
      </c>
      <c r="F28" s="2" t="s">
        <v>87</v>
      </c>
      <c r="G28" s="0" t="n">
        <v>5006</v>
      </c>
      <c r="H28" s="0" t="n">
        <v>86</v>
      </c>
      <c r="I28" s="3" t="str">
        <f aca="false">IF(H28&gt;=95,"우수",IF(H28&gt;=80,"보통","위험"))</f>
        <v>보통</v>
      </c>
    </row>
    <row r="29" customFormat="false" ht="17.15" hidden="false" customHeight="false" outlineLevel="0" collapsed="false">
      <c r="A29" s="0" t="s">
        <v>149</v>
      </c>
      <c r="B29" s="2" t="s">
        <v>150</v>
      </c>
      <c r="C29" s="2" t="s">
        <v>151</v>
      </c>
      <c r="D29" s="0" t="n">
        <v>7</v>
      </c>
      <c r="E29" s="0" t="n">
        <v>6</v>
      </c>
      <c r="F29" s="2" t="s">
        <v>87</v>
      </c>
      <c r="G29" s="0" t="n">
        <v>5437</v>
      </c>
      <c r="H29" s="0" t="n">
        <v>98</v>
      </c>
      <c r="I29" s="3" t="str">
        <f aca="false">IF(H29&gt;=95,"우수",IF(H29&gt;=80,"보통","위험"))</f>
        <v>우수</v>
      </c>
    </row>
    <row r="30" customFormat="false" ht="17.15" hidden="false" customHeight="false" outlineLevel="0" collapsed="false">
      <c r="A30" s="0" t="s">
        <v>152</v>
      </c>
      <c r="B30" s="2" t="s">
        <v>153</v>
      </c>
      <c r="C30" s="2" t="s">
        <v>95</v>
      </c>
      <c r="D30" s="0" t="n">
        <v>4</v>
      </c>
      <c r="E30" s="0" t="n">
        <v>2</v>
      </c>
      <c r="F30" s="2" t="s">
        <v>87</v>
      </c>
      <c r="G30" s="0" t="n">
        <v>2868</v>
      </c>
      <c r="H30" s="0" t="n">
        <v>83</v>
      </c>
      <c r="I30" s="3" t="str">
        <f aca="false">IF(H30&gt;=95,"우수",IF(H30&gt;=80,"보통","위험"))</f>
        <v>보통</v>
      </c>
    </row>
    <row r="31" customFormat="false" ht="17.15" hidden="false" customHeight="false" outlineLevel="0" collapsed="false">
      <c r="A31" s="0" t="s">
        <v>154</v>
      </c>
      <c r="B31" s="2" t="s">
        <v>155</v>
      </c>
      <c r="C31" s="2" t="s">
        <v>156</v>
      </c>
      <c r="D31" s="0" t="n">
        <v>5</v>
      </c>
      <c r="E31" s="0" t="n">
        <v>4</v>
      </c>
      <c r="F31" s="2" t="s">
        <v>87</v>
      </c>
      <c r="G31" s="0" t="n">
        <v>3299</v>
      </c>
      <c r="H31" s="0" t="n">
        <v>92</v>
      </c>
      <c r="I31" s="3" t="str">
        <f aca="false">IF(H31&gt;=95,"우수",IF(H31&gt;=80,"보통","위험"))</f>
        <v>보통</v>
      </c>
    </row>
    <row r="32" customFormat="false" ht="17.15" hidden="false" customHeight="false" outlineLevel="0" collapsed="false">
      <c r="A32" s="0" t="s">
        <v>157</v>
      </c>
      <c r="B32" s="2" t="s">
        <v>158</v>
      </c>
      <c r="C32" s="2" t="s">
        <v>86</v>
      </c>
      <c r="D32" s="0" t="n">
        <v>6</v>
      </c>
      <c r="E32" s="0" t="n">
        <v>4</v>
      </c>
      <c r="F32" s="2" t="s">
        <v>87</v>
      </c>
      <c r="G32" s="0" t="n">
        <v>3730</v>
      </c>
      <c r="H32" s="0" t="n">
        <v>88</v>
      </c>
      <c r="I32" s="3" t="str">
        <f aca="false">IF(H32&gt;=95,"우수",IF(H32&gt;=80,"보통","위험"))</f>
        <v>보통</v>
      </c>
    </row>
    <row r="33" customFormat="false" ht="17.15" hidden="false" customHeight="false" outlineLevel="0" collapsed="false">
      <c r="A33" s="0" t="s">
        <v>159</v>
      </c>
      <c r="B33" s="2" t="s">
        <v>160</v>
      </c>
      <c r="C33" s="2" t="s">
        <v>161</v>
      </c>
      <c r="D33" s="0" t="n">
        <v>7</v>
      </c>
      <c r="E33" s="0" t="n">
        <v>6</v>
      </c>
      <c r="F33" s="2" t="s">
        <v>87</v>
      </c>
      <c r="G33" s="0" t="n">
        <v>4161</v>
      </c>
      <c r="H33" s="0" t="n">
        <v>79</v>
      </c>
      <c r="I33" s="3" t="str">
        <f aca="false">IF(H33&gt;=95,"우수",IF(H33&gt;=80,"보통","위험"))</f>
        <v>위험</v>
      </c>
    </row>
    <row r="34" customFormat="false" ht="17.15" hidden="false" customHeight="false" outlineLevel="0" collapsed="false">
      <c r="A34" s="0" t="s">
        <v>162</v>
      </c>
      <c r="B34" s="2" t="s">
        <v>163</v>
      </c>
      <c r="C34" s="2" t="s">
        <v>125</v>
      </c>
      <c r="D34" s="0" t="n">
        <v>4</v>
      </c>
      <c r="E34" s="0" t="n">
        <v>2</v>
      </c>
      <c r="F34" s="2" t="s">
        <v>87</v>
      </c>
      <c r="G34" s="0" t="n">
        <v>4592</v>
      </c>
      <c r="H34" s="0" t="n">
        <v>65</v>
      </c>
      <c r="I34" s="3" t="str">
        <f aca="false">IF(H34&gt;=95,"우수",IF(H34&gt;=80,"보통","위험"))</f>
        <v>위험</v>
      </c>
    </row>
    <row r="35" customFormat="false" ht="17.15" hidden="false" customHeight="false" outlineLevel="0" collapsed="false">
      <c r="A35" s="0" t="s">
        <v>164</v>
      </c>
      <c r="B35" s="2" t="s">
        <v>165</v>
      </c>
      <c r="C35" s="2" t="s">
        <v>98</v>
      </c>
      <c r="D35" s="0" t="n">
        <v>5</v>
      </c>
      <c r="E35" s="0" t="n">
        <v>4</v>
      </c>
      <c r="F35" s="2" t="s">
        <v>87</v>
      </c>
      <c r="G35" s="0" t="n">
        <v>5023</v>
      </c>
      <c r="H35" s="0" t="n">
        <v>94</v>
      </c>
      <c r="I35" s="3" t="str">
        <f aca="false">IF(H35&gt;=95,"우수",IF(H35&gt;=80,"보통","위험"))</f>
        <v>보통</v>
      </c>
    </row>
    <row r="36" customFormat="false" ht="17.15" hidden="false" customHeight="false" outlineLevel="0" collapsed="false">
      <c r="A36" s="0" t="s">
        <v>166</v>
      </c>
      <c r="B36" s="2" t="s">
        <v>167</v>
      </c>
      <c r="C36" s="2" t="s">
        <v>168</v>
      </c>
      <c r="D36" s="0" t="n">
        <v>6</v>
      </c>
      <c r="E36" s="0" t="n">
        <v>4</v>
      </c>
      <c r="F36" s="2" t="s">
        <v>87</v>
      </c>
      <c r="G36" s="0" t="n">
        <v>5454</v>
      </c>
      <c r="H36" s="0" t="n">
        <v>90</v>
      </c>
      <c r="I36" s="3" t="str">
        <f aca="false">IF(H36&gt;=95,"우수",IF(H36&gt;=80,"보통","위험"))</f>
        <v>보통</v>
      </c>
    </row>
    <row r="37" customFormat="false" ht="17.15" hidden="false" customHeight="false" outlineLevel="0" collapsed="false">
      <c r="A37" s="0" t="s">
        <v>169</v>
      </c>
      <c r="B37" s="2" t="s">
        <v>170</v>
      </c>
      <c r="C37" s="2" t="s">
        <v>89</v>
      </c>
      <c r="D37" s="0" t="n">
        <v>7</v>
      </c>
      <c r="E37" s="0" t="n">
        <v>6</v>
      </c>
      <c r="F37" s="2" t="s">
        <v>87</v>
      </c>
      <c r="G37" s="0" t="n">
        <v>2885</v>
      </c>
      <c r="H37" s="0" t="n">
        <v>87</v>
      </c>
      <c r="I37" s="3" t="str">
        <f aca="false">IF(H37&gt;=95,"우수",IF(H37&gt;=80,"보통","위험"))</f>
        <v>보통</v>
      </c>
    </row>
    <row r="38" customFormat="false" ht="17.15" hidden="false" customHeight="false" outlineLevel="0" collapsed="false">
      <c r="A38" s="0" t="s">
        <v>171</v>
      </c>
      <c r="B38" s="2" t="s">
        <v>172</v>
      </c>
      <c r="C38" s="2" t="s">
        <v>93</v>
      </c>
      <c r="D38" s="0" t="n">
        <v>4</v>
      </c>
      <c r="E38" s="0" t="n">
        <v>2</v>
      </c>
      <c r="F38" s="2" t="s">
        <v>87</v>
      </c>
      <c r="G38" s="0" t="n">
        <v>3316</v>
      </c>
      <c r="H38" s="0" t="n">
        <v>89</v>
      </c>
      <c r="I38" s="3" t="str">
        <f aca="false">IF(H38&gt;=95,"우수",IF(H38&gt;=80,"보통","위험"))</f>
        <v>보통</v>
      </c>
    </row>
    <row r="39" customFormat="false" ht="17.15" hidden="false" customHeight="false" outlineLevel="0" collapsed="false">
      <c r="A39" s="0" t="s">
        <v>173</v>
      </c>
      <c r="B39" s="2" t="s">
        <v>174</v>
      </c>
      <c r="C39" s="2" t="s">
        <v>115</v>
      </c>
      <c r="D39" s="0" t="n">
        <v>5</v>
      </c>
      <c r="E39" s="0" t="n">
        <v>4</v>
      </c>
      <c r="F39" s="2" t="s">
        <v>87</v>
      </c>
      <c r="G39" s="0" t="n">
        <v>3747</v>
      </c>
      <c r="H39" s="0" t="n">
        <v>96</v>
      </c>
      <c r="I39" s="3" t="str">
        <f aca="false">IF(H39&gt;=95,"우수",IF(H39&gt;=80,"보통","위험"))</f>
        <v>우수</v>
      </c>
    </row>
    <row r="40" customFormat="false" ht="17.15" hidden="false" customHeight="false" outlineLevel="0" collapsed="false">
      <c r="A40" s="0" t="s">
        <v>175</v>
      </c>
      <c r="B40" s="2" t="s">
        <v>176</v>
      </c>
      <c r="C40" s="2" t="s">
        <v>103</v>
      </c>
      <c r="D40" s="0" t="n">
        <v>6</v>
      </c>
      <c r="E40" s="0" t="n">
        <v>4</v>
      </c>
      <c r="F40" s="2" t="s">
        <v>87</v>
      </c>
      <c r="G40" s="0" t="n">
        <v>4178</v>
      </c>
      <c r="H40" s="0" t="n">
        <v>85</v>
      </c>
      <c r="I40" s="3" t="str">
        <f aca="false">IF(H40&gt;=95,"우수",IF(H40&gt;=80,"보통","위험"))</f>
        <v>보통</v>
      </c>
    </row>
    <row r="41" customFormat="false" ht="17.15" hidden="false" customHeight="false" outlineLevel="0" collapsed="false">
      <c r="A41" s="0" t="s">
        <v>177</v>
      </c>
      <c r="B41" s="2" t="s">
        <v>178</v>
      </c>
      <c r="C41" s="2" t="s">
        <v>156</v>
      </c>
      <c r="D41" s="0" t="n">
        <v>7</v>
      </c>
      <c r="E41" s="0" t="n">
        <v>6</v>
      </c>
      <c r="F41" s="2" t="s">
        <v>87</v>
      </c>
      <c r="G41" s="0" t="n">
        <v>4609</v>
      </c>
      <c r="H41" s="0" t="n">
        <v>91</v>
      </c>
      <c r="I41" s="3" t="str">
        <f aca="false">IF(H41&gt;=95,"우수",IF(H41&gt;=80,"보통","위험"))</f>
        <v>보통</v>
      </c>
    </row>
    <row r="42" customFormat="false" ht="17.15" hidden="false" customHeight="false" outlineLevel="0" collapsed="false">
      <c r="A42" s="0" t="s">
        <v>179</v>
      </c>
      <c r="B42" s="2" t="s">
        <v>180</v>
      </c>
      <c r="C42" s="2" t="s">
        <v>181</v>
      </c>
      <c r="D42" s="0" t="n">
        <v>4</v>
      </c>
      <c r="E42" s="0" t="n">
        <v>2</v>
      </c>
      <c r="F42" s="2" t="s">
        <v>87</v>
      </c>
      <c r="G42" s="0" t="n">
        <v>5040</v>
      </c>
      <c r="H42" s="0" t="n">
        <v>97</v>
      </c>
      <c r="I42" s="3" t="str">
        <f aca="false">IF(H42&gt;=95,"우수",IF(H42&gt;=80,"보통","위험"))</f>
        <v>우수</v>
      </c>
    </row>
    <row r="43" customFormat="false" ht="17.15" hidden="false" customHeight="false" outlineLevel="0" collapsed="false">
      <c r="A43" s="0" t="s">
        <v>182</v>
      </c>
      <c r="B43" s="2" t="s">
        <v>183</v>
      </c>
      <c r="C43" s="2" t="s">
        <v>136</v>
      </c>
      <c r="D43" s="0" t="n">
        <v>5</v>
      </c>
      <c r="E43" s="0" t="n">
        <v>4</v>
      </c>
      <c r="F43" s="2" t="s">
        <v>87</v>
      </c>
      <c r="G43" s="0" t="n">
        <v>5471</v>
      </c>
      <c r="H43" s="0" t="n">
        <v>92</v>
      </c>
      <c r="I43" s="3" t="str">
        <f aca="false">IF(H43&gt;=95,"우수",IF(H43&gt;=80,"보통","위험"))</f>
        <v>보통</v>
      </c>
    </row>
    <row r="44" customFormat="false" ht="17.15" hidden="false" customHeight="false" outlineLevel="0" collapsed="false">
      <c r="A44" s="0" t="s">
        <v>184</v>
      </c>
      <c r="B44" s="2" t="s">
        <v>185</v>
      </c>
      <c r="C44" s="2" t="s">
        <v>151</v>
      </c>
      <c r="D44" s="0" t="n">
        <v>6</v>
      </c>
      <c r="E44" s="0" t="n">
        <v>4</v>
      </c>
      <c r="F44" s="2" t="s">
        <v>87</v>
      </c>
      <c r="G44" s="0" t="n">
        <v>2902</v>
      </c>
      <c r="H44" s="0" t="n">
        <v>80</v>
      </c>
      <c r="I44" s="3" t="str">
        <f aca="false">IF(H44&gt;=95,"우수",IF(H44&gt;=80,"보통","위험"))</f>
        <v>보통</v>
      </c>
    </row>
    <row r="45" customFormat="false" ht="17.15" hidden="false" customHeight="false" outlineLevel="0" collapsed="false">
      <c r="A45" s="0" t="s">
        <v>186</v>
      </c>
      <c r="B45" s="2" t="s">
        <v>187</v>
      </c>
      <c r="C45" s="2" t="s">
        <v>161</v>
      </c>
      <c r="D45" s="0" t="n">
        <v>7</v>
      </c>
      <c r="E45" s="0" t="n">
        <v>6</v>
      </c>
      <c r="F45" s="2" t="s">
        <v>87</v>
      </c>
      <c r="G45" s="0" t="n">
        <v>3333</v>
      </c>
      <c r="H45" s="0" t="n">
        <v>88</v>
      </c>
      <c r="I45" s="3" t="str">
        <f aca="false">IF(H45&gt;=95,"우수",IF(H45&gt;=80,"보통","위험"))</f>
        <v>보통</v>
      </c>
    </row>
    <row r="46" customFormat="false" ht="17.15" hidden="false" customHeight="false" outlineLevel="0" collapsed="false">
      <c r="A46" s="0" t="s">
        <v>188</v>
      </c>
      <c r="B46" s="2" t="s">
        <v>189</v>
      </c>
      <c r="C46" s="2" t="s">
        <v>139</v>
      </c>
      <c r="D46" s="0" t="n">
        <v>4</v>
      </c>
      <c r="E46" s="0" t="n">
        <v>2</v>
      </c>
      <c r="F46" s="2" t="s">
        <v>87</v>
      </c>
      <c r="G46" s="0" t="n">
        <v>3764</v>
      </c>
      <c r="H46" s="0" t="n">
        <v>85</v>
      </c>
      <c r="I46" s="3" t="str">
        <f aca="false">IF(H46&gt;=95,"우수",IF(H46&gt;=80,"보통","위험"))</f>
        <v>보통</v>
      </c>
    </row>
    <row r="47" customFormat="false" ht="17.15" hidden="false" customHeight="false" outlineLevel="0" collapsed="false">
      <c r="A47" s="0" t="s">
        <v>190</v>
      </c>
      <c r="B47" s="2" t="s">
        <v>191</v>
      </c>
      <c r="C47" s="2" t="s">
        <v>86</v>
      </c>
      <c r="D47" s="0" t="n">
        <v>5</v>
      </c>
      <c r="E47" s="0" t="n">
        <v>4</v>
      </c>
      <c r="F47" s="2" t="s">
        <v>87</v>
      </c>
      <c r="G47" s="0" t="n">
        <v>4195</v>
      </c>
      <c r="H47" s="0" t="n">
        <v>93</v>
      </c>
      <c r="I47" s="3" t="str">
        <f aca="false">IF(H47&gt;=95,"우수",IF(H47&gt;=80,"보통","위험"))</f>
        <v>보통</v>
      </c>
    </row>
    <row r="48" customFormat="false" ht="17.15" hidden="false" customHeight="false" outlineLevel="0" collapsed="false">
      <c r="A48" s="0" t="s">
        <v>192</v>
      </c>
      <c r="B48" s="2" t="s">
        <v>193</v>
      </c>
      <c r="C48" s="2" t="s">
        <v>194</v>
      </c>
      <c r="D48" s="0" t="n">
        <v>6</v>
      </c>
      <c r="E48" s="0" t="n">
        <v>4</v>
      </c>
      <c r="F48" s="2" t="s">
        <v>87</v>
      </c>
      <c r="G48" s="0" t="n">
        <v>4626</v>
      </c>
      <c r="H48" s="0" t="n">
        <v>71</v>
      </c>
      <c r="I48" s="3" t="str">
        <f aca="false">IF(H48&gt;=95,"우수",IF(H48&gt;=80,"보통","위험"))</f>
        <v>위험</v>
      </c>
    </row>
    <row r="49" customFormat="false" ht="17.15" hidden="false" customHeight="false" outlineLevel="0" collapsed="false">
      <c r="A49" s="0" t="s">
        <v>195</v>
      </c>
      <c r="B49" s="2" t="s">
        <v>196</v>
      </c>
      <c r="C49" s="2" t="s">
        <v>197</v>
      </c>
      <c r="D49" s="0" t="n">
        <v>7</v>
      </c>
      <c r="E49" s="0" t="n">
        <v>6</v>
      </c>
      <c r="F49" s="2" t="s">
        <v>87</v>
      </c>
      <c r="G49" s="0" t="n">
        <v>5057</v>
      </c>
      <c r="H49" s="0" t="n">
        <v>90</v>
      </c>
      <c r="I49" s="3" t="str">
        <f aca="false">IF(H49&gt;=95,"우수",IF(H49&gt;=80,"보통","위험"))</f>
        <v>보통</v>
      </c>
    </row>
  </sheetData>
  <autoFilter ref="A1:I49"/>
  <conditionalFormatting sqref="H2:I49">
    <cfRule type="expression" priority="2" aboveAverage="0" equalAverage="0" bottom="0" percent="0" rank="0" text="" dxfId="4">
      <formula>$H2&lt;80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7.15" hidden="false" customHeight="false" outlineLevel="0" collapsed="false">
      <c r="A1" s="1" t="s">
        <v>0</v>
      </c>
      <c r="B1" s="1" t="s">
        <v>63</v>
      </c>
      <c r="C1" s="1" t="s">
        <v>198</v>
      </c>
    </row>
    <row r="2" customFormat="false" ht="15" hidden="false" customHeight="false" outlineLevel="0" collapsed="false">
      <c r="A2" s="0" t="s">
        <v>5</v>
      </c>
      <c r="B2" s="0" t="s">
        <v>69</v>
      </c>
      <c r="C2" s="0" t="n">
        <v>1.8</v>
      </c>
    </row>
    <row r="3" customFormat="false" ht="15" hidden="false" customHeight="false" outlineLevel="0" collapsed="false">
      <c r="A3" s="0" t="s">
        <v>10</v>
      </c>
      <c r="B3" s="0" t="s">
        <v>71</v>
      </c>
      <c r="C3" s="0" t="n">
        <v>2.2</v>
      </c>
    </row>
    <row r="4" customFormat="false" ht="15" hidden="false" customHeight="false" outlineLevel="0" collapsed="false">
      <c r="A4" s="0" t="s">
        <v>13</v>
      </c>
      <c r="B4" s="0" t="s">
        <v>72</v>
      </c>
      <c r="C4" s="0" t="n">
        <v>2</v>
      </c>
    </row>
    <row r="5" customFormat="false" ht="15" hidden="false" customHeight="false" outlineLevel="0" collapsed="false">
      <c r="A5" s="0" t="s">
        <v>16</v>
      </c>
      <c r="B5" s="0" t="s">
        <v>73</v>
      </c>
      <c r="C5" s="0" t="n">
        <v>3</v>
      </c>
    </row>
    <row r="6" customFormat="false" ht="15" hidden="false" customHeight="false" outlineLevel="0" collapsed="false">
      <c r="A6" s="0" t="s">
        <v>20</v>
      </c>
      <c r="B6" s="0" t="s">
        <v>73</v>
      </c>
      <c r="C6" s="0" t="n">
        <v>1.8</v>
      </c>
    </row>
    <row r="7" customFormat="false" ht="15" hidden="false" customHeight="false" outlineLevel="0" collapsed="false">
      <c r="A7" s="0" t="s">
        <v>22</v>
      </c>
      <c r="B7" s="0" t="s">
        <v>74</v>
      </c>
      <c r="C7" s="0" t="n">
        <v>1.2</v>
      </c>
    </row>
    <row r="8" customFormat="false" ht="15" hidden="false" customHeight="false" outlineLevel="0" collapsed="false">
      <c r="A8" s="0" t="s">
        <v>27</v>
      </c>
      <c r="B8" s="0" t="s">
        <v>71</v>
      </c>
      <c r="C8" s="0" t="n">
        <v>1.5</v>
      </c>
    </row>
    <row r="9" customFormat="false" ht="15" hidden="false" customHeight="false" outlineLevel="0" collapsed="false">
      <c r="A9" s="0" t="s">
        <v>28</v>
      </c>
      <c r="B9" s="0" t="s">
        <v>71</v>
      </c>
      <c r="C9" s="0" t="n">
        <v>8</v>
      </c>
    </row>
    <row r="10" customFormat="false" ht="15" hidden="false" customHeight="false" outlineLevel="0" collapsed="false">
      <c r="A10" s="0" t="s">
        <v>31</v>
      </c>
      <c r="B10" s="0" t="s">
        <v>71</v>
      </c>
      <c r="C10" s="0" t="n">
        <v>2.5</v>
      </c>
    </row>
    <row r="11" customFormat="false" ht="15" hidden="false" customHeight="false" outlineLevel="0" collapsed="false">
      <c r="A11" s="0" t="s">
        <v>33</v>
      </c>
      <c r="B11" s="0" t="s">
        <v>75</v>
      </c>
      <c r="C11" s="0" t="n">
        <v>2.2</v>
      </c>
    </row>
    <row r="12" customFormat="false" ht="15" hidden="false" customHeight="false" outlineLevel="0" collapsed="false">
      <c r="A12" s="0" t="s">
        <v>37</v>
      </c>
      <c r="B12" s="0" t="s">
        <v>75</v>
      </c>
      <c r="C12" s="0" t="n">
        <v>1.1</v>
      </c>
    </row>
    <row r="13" customFormat="false" ht="15" hidden="false" customHeight="false" outlineLevel="0" collapsed="false">
      <c r="A13" s="0" t="s">
        <v>38</v>
      </c>
      <c r="B13" s="0" t="s">
        <v>73</v>
      </c>
      <c r="C13" s="0" t="n">
        <v>1</v>
      </c>
    </row>
    <row r="14" customFormat="false" ht="15" hidden="false" customHeight="false" outlineLevel="0" collapsed="false">
      <c r="A14" s="0" t="s">
        <v>41</v>
      </c>
      <c r="B14" s="0" t="s">
        <v>71</v>
      </c>
      <c r="C14" s="0" t="n">
        <v>4</v>
      </c>
    </row>
    <row r="15" customFormat="false" ht="15" hidden="false" customHeight="false" outlineLevel="0" collapsed="false">
      <c r="A15" s="0" t="s">
        <v>44</v>
      </c>
      <c r="B15" s="0" t="s">
        <v>71</v>
      </c>
      <c r="C15" s="0" t="n">
        <v>3.5</v>
      </c>
    </row>
    <row r="16" customFormat="false" ht="15" hidden="false" customHeight="false" outlineLevel="0" collapsed="false">
      <c r="A16" s="0" t="s">
        <v>45</v>
      </c>
      <c r="B16" s="0" t="s">
        <v>73</v>
      </c>
      <c r="C16" s="0" t="n">
        <v>0.8</v>
      </c>
    </row>
    <row r="17" customFormat="false" ht="15" hidden="false" customHeight="false" outlineLevel="0" collapsed="false">
      <c r="A17" s="0" t="s">
        <v>46</v>
      </c>
      <c r="B17" s="0" t="s">
        <v>73</v>
      </c>
      <c r="C17" s="0" t="n">
        <v>0.7</v>
      </c>
    </row>
    <row r="18" customFormat="false" ht="15" hidden="false" customHeight="false" outlineLevel="0" collapsed="false">
      <c r="A18" s="0" t="s">
        <v>47</v>
      </c>
      <c r="B18" s="0" t="s">
        <v>73</v>
      </c>
      <c r="C18" s="0" t="n">
        <v>6</v>
      </c>
    </row>
    <row r="19" customFormat="false" ht="15" hidden="false" customHeight="false" outlineLevel="0" collapsed="false">
      <c r="A19" s="0" t="s">
        <v>48</v>
      </c>
      <c r="B19" s="0" t="s">
        <v>76</v>
      </c>
      <c r="C19" s="0" t="n">
        <v>0.9</v>
      </c>
    </row>
    <row r="20" customFormat="false" ht="15" hidden="false" customHeight="false" outlineLevel="0" collapsed="false">
      <c r="A20" s="0" t="s">
        <v>51</v>
      </c>
      <c r="B20" s="0" t="s">
        <v>73</v>
      </c>
      <c r="C20" s="0" t="n">
        <v>1</v>
      </c>
    </row>
    <row r="21" customFormat="false" ht="15" hidden="false" customHeight="false" outlineLevel="0" collapsed="false">
      <c r="A21" s="0" t="s">
        <v>52</v>
      </c>
      <c r="B21" s="0" t="s">
        <v>76</v>
      </c>
      <c r="C21" s="0" t="n">
        <v>3</v>
      </c>
    </row>
    <row r="22" customFormat="false" ht="15" hidden="false" customHeight="false" outlineLevel="0" collapsed="false">
      <c r="A22" s="0" t="s">
        <v>53</v>
      </c>
      <c r="B22" s="0" t="s">
        <v>69</v>
      </c>
      <c r="C22" s="0" t="n">
        <v>2.5</v>
      </c>
    </row>
    <row r="23" customFormat="false" ht="15" hidden="false" customHeight="false" outlineLevel="0" collapsed="false">
      <c r="A23" s="0" t="s">
        <v>54</v>
      </c>
      <c r="B23" s="0" t="s">
        <v>71</v>
      </c>
      <c r="C23" s="0" t="n">
        <v>1.3</v>
      </c>
    </row>
    <row r="24" customFormat="false" ht="15" hidden="false" customHeight="false" outlineLevel="0" collapsed="false">
      <c r="A24" s="0" t="s">
        <v>55</v>
      </c>
      <c r="B24" s="0" t="s">
        <v>75</v>
      </c>
      <c r="C24" s="0" t="n">
        <v>0.8</v>
      </c>
    </row>
    <row r="25" customFormat="false" ht="15" hidden="false" customHeight="false" outlineLevel="0" collapsed="false">
      <c r="A25" s="0" t="s">
        <v>56</v>
      </c>
      <c r="B25" s="0" t="s">
        <v>69</v>
      </c>
      <c r="C25" s="0" t="n">
        <v>4</v>
      </c>
    </row>
    <row r="26" customFormat="false" ht="15" hidden="false" customHeight="false" outlineLevel="0" collapsed="false">
      <c r="A26" s="0" t="s">
        <v>57</v>
      </c>
      <c r="B26" s="0" t="s">
        <v>71</v>
      </c>
      <c r="C26" s="0" t="n">
        <v>5</v>
      </c>
    </row>
    <row r="27" customFormat="false" ht="15" hidden="false" customHeight="false" outlineLevel="0" collapsed="false">
      <c r="A27" s="0" t="s">
        <v>58</v>
      </c>
      <c r="B27" s="0" t="s">
        <v>75</v>
      </c>
      <c r="C27" s="0" t="n">
        <v>4.5</v>
      </c>
    </row>
    <row r="28" customFormat="false" ht="15" hidden="false" customHeight="false" outlineLevel="0" collapsed="false">
      <c r="A28" s="0" t="s">
        <v>59</v>
      </c>
      <c r="B28" s="0" t="s">
        <v>75</v>
      </c>
      <c r="C28" s="0" t="n">
        <v>1</v>
      </c>
    </row>
    <row r="29" customFormat="false" ht="15" hidden="false" customHeight="false" outlineLevel="0" collapsed="false">
      <c r="A29" s="0" t="s">
        <v>60</v>
      </c>
      <c r="B29" s="0" t="s">
        <v>73</v>
      </c>
      <c r="C29" s="0" t="n">
        <v>1.4</v>
      </c>
    </row>
    <row r="30" customFormat="false" ht="15" hidden="false" customHeight="false" outlineLevel="0" collapsed="false">
      <c r="A30" s="0" t="s">
        <v>61</v>
      </c>
      <c r="B30" s="0" t="s">
        <v>73</v>
      </c>
      <c r="C30" s="0" t="n">
        <v>1.2</v>
      </c>
    </row>
    <row r="31" customFormat="false" ht="15" hidden="false" customHeight="false" outlineLevel="0" collapsed="false">
      <c r="A31" s="0" t="s">
        <v>62</v>
      </c>
      <c r="B31" s="0" t="s">
        <v>73</v>
      </c>
      <c r="C31" s="0" t="n">
        <v>1</v>
      </c>
    </row>
  </sheetData>
  <autoFilter ref="A1:C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</cols>
  <sheetData>
    <row r="1" customFormat="false" ht="15" hidden="false" customHeight="false" outlineLevel="0" collapsed="false">
      <c r="A1" s="1" t="s">
        <v>199</v>
      </c>
      <c r="B1" s="1" t="s">
        <v>200</v>
      </c>
      <c r="C1" s="1" t="s">
        <v>0</v>
      </c>
      <c r="D1" s="1" t="s">
        <v>201</v>
      </c>
      <c r="E1" s="1" t="s">
        <v>202</v>
      </c>
      <c r="F1" s="1" t="s">
        <v>203</v>
      </c>
      <c r="G1" s="1" t="s">
        <v>204</v>
      </c>
    </row>
    <row r="2" customFormat="false" ht="15" hidden="false" customHeight="false" outlineLevel="0" collapsed="false">
      <c r="A2" s="0" t="s">
        <v>205</v>
      </c>
      <c r="B2" s="0" t="s">
        <v>206</v>
      </c>
      <c r="C2" s="0" t="s">
        <v>5</v>
      </c>
      <c r="D2" s="2" t="s">
        <v>6</v>
      </c>
      <c r="E2" s="0" t="n">
        <v>500</v>
      </c>
      <c r="F2" s="0" t="s">
        <v>207</v>
      </c>
      <c r="G2" s="2" t="s">
        <v>208</v>
      </c>
    </row>
    <row r="3" customFormat="false" ht="15" hidden="false" customHeight="false" outlineLevel="0" collapsed="false">
      <c r="A3" s="0" t="s">
        <v>209</v>
      </c>
      <c r="B3" s="0" t="s">
        <v>206</v>
      </c>
      <c r="C3" s="0" t="s">
        <v>16</v>
      </c>
      <c r="D3" s="2" t="s">
        <v>17</v>
      </c>
      <c r="E3" s="0" t="n">
        <v>300</v>
      </c>
      <c r="F3" s="0" t="s">
        <v>210</v>
      </c>
      <c r="G3" s="2" t="s">
        <v>208</v>
      </c>
    </row>
    <row r="4" customFormat="false" ht="15" hidden="false" customHeight="false" outlineLevel="0" collapsed="false">
      <c r="A4" s="0" t="s">
        <v>211</v>
      </c>
      <c r="B4" s="0" t="s">
        <v>212</v>
      </c>
      <c r="C4" s="0" t="s">
        <v>28</v>
      </c>
      <c r="D4" s="2" t="s">
        <v>29</v>
      </c>
      <c r="E4" s="0" t="n">
        <v>200</v>
      </c>
      <c r="F4" s="0" t="s">
        <v>213</v>
      </c>
      <c r="G4" s="2" t="s">
        <v>208</v>
      </c>
    </row>
    <row r="5" customFormat="false" ht="15" hidden="false" customHeight="false" outlineLevel="0" collapsed="false">
      <c r="A5" s="0" t="s">
        <v>214</v>
      </c>
      <c r="B5" s="0" t="s">
        <v>212</v>
      </c>
      <c r="C5" s="0" t="s">
        <v>41</v>
      </c>
      <c r="D5" s="2" t="s">
        <v>42</v>
      </c>
      <c r="E5" s="0" t="n">
        <v>250</v>
      </c>
      <c r="F5" s="0" t="s">
        <v>215</v>
      </c>
      <c r="G5" s="2" t="s">
        <v>208</v>
      </c>
    </row>
    <row r="6" customFormat="false" ht="15" hidden="false" customHeight="false" outlineLevel="0" collapsed="false">
      <c r="A6" s="0" t="s">
        <v>216</v>
      </c>
      <c r="B6" s="0" t="s">
        <v>217</v>
      </c>
      <c r="C6" s="0" t="s">
        <v>52</v>
      </c>
      <c r="D6" s="2" t="s">
        <v>23</v>
      </c>
      <c r="E6" s="0" t="n">
        <v>400</v>
      </c>
      <c r="F6" s="0" t="s">
        <v>218</v>
      </c>
      <c r="G6" s="2" t="s">
        <v>208</v>
      </c>
    </row>
    <row r="7" customFormat="false" ht="15" hidden="false" customHeight="false" outlineLevel="0" collapsed="false">
      <c r="A7" s="0" t="s">
        <v>219</v>
      </c>
      <c r="B7" s="0" t="s">
        <v>217</v>
      </c>
      <c r="C7" s="0" t="s">
        <v>45</v>
      </c>
      <c r="D7" s="2" t="s">
        <v>39</v>
      </c>
      <c r="E7" s="0" t="n">
        <v>600</v>
      </c>
      <c r="F7" s="0" t="s">
        <v>220</v>
      </c>
      <c r="G7" s="2" t="s">
        <v>208</v>
      </c>
    </row>
    <row r="8" customFormat="false" ht="15" hidden="false" customHeight="false" outlineLevel="0" collapsed="false">
      <c r="A8" s="0" t="s">
        <v>221</v>
      </c>
      <c r="B8" s="0" t="s">
        <v>222</v>
      </c>
      <c r="C8" s="0" t="s">
        <v>58</v>
      </c>
      <c r="D8" s="2" t="s">
        <v>29</v>
      </c>
      <c r="E8" s="0" t="n">
        <v>180</v>
      </c>
      <c r="F8" s="0" t="s">
        <v>223</v>
      </c>
      <c r="G8" s="2" t="s">
        <v>208</v>
      </c>
    </row>
    <row r="9" customFormat="false" ht="15" hidden="false" customHeight="false" outlineLevel="0" collapsed="false">
      <c r="A9" s="0" t="s">
        <v>224</v>
      </c>
      <c r="B9" s="0" t="s">
        <v>222</v>
      </c>
      <c r="C9" s="0" t="s">
        <v>62</v>
      </c>
      <c r="D9" s="2" t="s">
        <v>6</v>
      </c>
      <c r="E9" s="0" t="n">
        <v>450</v>
      </c>
      <c r="F9" s="0" t="s">
        <v>225</v>
      </c>
      <c r="G9" s="2" t="s">
        <v>208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17.15" hidden="false" customHeight="false" outlineLevel="0" collapsed="false">
      <c r="A1" s="4" t="s">
        <v>226</v>
      </c>
      <c r="B1" s="4" t="s">
        <v>227</v>
      </c>
      <c r="C1" s="4" t="s">
        <v>228</v>
      </c>
      <c r="D1" s="4" t="s">
        <v>229</v>
      </c>
      <c r="E1" s="4" t="s">
        <v>230</v>
      </c>
      <c r="F1" s="5" t="s">
        <v>231</v>
      </c>
      <c r="G1" s="2" t="s">
        <v>232</v>
      </c>
    </row>
    <row r="2" customFormat="false" ht="17.15" hidden="false" customHeight="false" outlineLevel="0" collapsed="false">
      <c r="A2" s="2" t="s">
        <v>233</v>
      </c>
      <c r="B2" s="2" t="s">
        <v>234</v>
      </c>
      <c r="C2" s="2" t="s">
        <v>9</v>
      </c>
      <c r="D2" s="2" t="s">
        <v>19</v>
      </c>
      <c r="E2" s="0" t="n">
        <v>7</v>
      </c>
      <c r="F2" s="2" t="s">
        <v>235</v>
      </c>
      <c r="G2" s="0" t="n">
        <v>22</v>
      </c>
    </row>
    <row r="3" customFormat="false" ht="17.15" hidden="false" customHeight="false" outlineLevel="0" collapsed="false">
      <c r="A3" s="2" t="s">
        <v>236</v>
      </c>
      <c r="B3" s="2" t="s">
        <v>234</v>
      </c>
      <c r="C3" s="2" t="s">
        <v>12</v>
      </c>
      <c r="D3" s="2" t="s">
        <v>11</v>
      </c>
      <c r="E3" s="0" t="n">
        <v>5</v>
      </c>
      <c r="F3" s="2" t="s">
        <v>237</v>
      </c>
      <c r="G3" s="0" t="n">
        <v>14</v>
      </c>
    </row>
    <row r="4" customFormat="false" ht="17.15" hidden="false" customHeight="false" outlineLevel="0" collapsed="false">
      <c r="A4" s="2" t="s">
        <v>238</v>
      </c>
      <c r="B4" s="2" t="s">
        <v>234</v>
      </c>
      <c r="C4" s="2" t="s">
        <v>15</v>
      </c>
      <c r="D4" s="2" t="s">
        <v>36</v>
      </c>
      <c r="E4" s="0" t="n">
        <v>6</v>
      </c>
      <c r="F4" s="2" t="s">
        <v>239</v>
      </c>
      <c r="G4" s="0" t="n">
        <v>12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240</v>
      </c>
      <c r="B1" s="1" t="s">
        <v>241</v>
      </c>
    </row>
    <row r="2" customFormat="false" ht="15" hidden="false" customHeight="false" outlineLevel="0" collapsed="false">
      <c r="A2" s="2" t="s">
        <v>242</v>
      </c>
      <c r="B2" s="0" t="s">
        <v>243</v>
      </c>
    </row>
    <row r="3" customFormat="false" ht="17.15" hidden="false" customHeight="false" outlineLevel="0" collapsed="false">
      <c r="A3" s="2" t="s">
        <v>244</v>
      </c>
      <c r="B3" s="2" t="s">
        <v>245</v>
      </c>
    </row>
    <row r="4" customFormat="false" ht="17.15" hidden="false" customHeight="false" outlineLevel="0" collapsed="false">
      <c r="A4" s="2" t="s">
        <v>246</v>
      </c>
      <c r="B4" s="2" t="s">
        <v>247</v>
      </c>
    </row>
    <row r="5" customFormat="false" ht="17.15" hidden="false" customHeight="false" outlineLevel="0" collapsed="false">
      <c r="A5" s="2" t="s">
        <v>248</v>
      </c>
      <c r="B5" s="2" t="s">
        <v>249</v>
      </c>
    </row>
    <row r="6" customFormat="false" ht="17.15" hidden="false" customHeight="false" outlineLevel="0" collapsed="false">
      <c r="A6" s="2" t="s">
        <v>250</v>
      </c>
      <c r="B6" s="2" t="s">
        <v>251</v>
      </c>
    </row>
    <row r="7" customFormat="false" ht="17.15" hidden="false" customHeight="false" outlineLevel="0" collapsed="false">
      <c r="A7" s="2" t="s">
        <v>252</v>
      </c>
      <c r="B7" s="2" t="s">
        <v>253</v>
      </c>
    </row>
    <row r="8" customFormat="false" ht="17.15" hidden="false" customHeight="false" outlineLevel="0" collapsed="false">
      <c r="A8" s="2" t="s">
        <v>254</v>
      </c>
      <c r="B8" s="2" t="s">
        <v>255</v>
      </c>
    </row>
    <row r="9" customFormat="false" ht="17.15" hidden="false" customHeight="false" outlineLevel="0" collapsed="false">
      <c r="A9" s="2" t="s">
        <v>256</v>
      </c>
      <c r="B9" s="2" t="s">
        <v>257</v>
      </c>
    </row>
    <row r="10" customFormat="false" ht="17.15" hidden="false" customHeight="false" outlineLevel="0" collapsed="false">
      <c r="A10" s="2" t="s">
        <v>258</v>
      </c>
      <c r="B10" s="0" t="s">
        <v>259</v>
      </c>
    </row>
    <row r="11" customFormat="false" ht="17.15" hidden="false" customHeight="false" outlineLevel="0" collapsed="false">
      <c r="A11" s="2" t="s">
        <v>260</v>
      </c>
      <c r="B11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2026-10-01T07:44:22Z</dcterms:created>
  <dc:creator>openpyxl</dc:creator>
  <dc:description/>
  <dc:language>en-US</dc:language>
  <cp:lastModifiedBy/>
  <dcterms:modified xsi:type="dcterms:W3CDTF">2026-10-01T08:38:15Z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